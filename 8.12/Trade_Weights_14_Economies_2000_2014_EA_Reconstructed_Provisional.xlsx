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0788bd204849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87084be5ea34263"/>
    <x:sheet xmlns:r="http://schemas.openxmlformats.org/officeDocument/2006/relationships" name="Target_14" sheetId="2" r:id="R6970d174ca4c4d2a"/>
    <x:sheet xmlns:r="http://schemas.openxmlformats.org/officeDocument/2006/relationships" name="Paper_W_35x35" sheetId="3" r:id="Rcbece95e80904e37"/>
    <x:sheet xmlns:r="http://schemas.openxmlformats.org/officeDocument/2006/relationships" name="Selected_13_NoEA" sheetId="4" r:id="Rd9fffc2657ee4418"/>
    <x:sheet xmlns:r="http://schemas.openxmlformats.org/officeDocument/2006/relationships" name="EA_Status" sheetId="5" r:id="R55e12524eb5742e7"/>
    <x:sheet xmlns:r="http://schemas.openxmlformats.org/officeDocument/2006/relationships" name="Sources" sheetId="6" r:id="R2bca2e580ff648d7"/>
    <x:sheet xmlns:r="http://schemas.openxmlformats.org/officeDocument/2006/relationships" name="Collapsed_14_Inputs" sheetId="7" r:id="R32b9ed1817734cb5"/>
    <x:sheet xmlns:r="http://schemas.openxmlformats.org/officeDocument/2006/relationships" name="Final_14x14" sheetId="8" r:id="Ra0373f971a5f49e1"/>
    <x:sheet xmlns:r="http://schemas.openxmlformats.org/officeDocument/2006/relationships" name="EA_Bilateral_Recon" sheetId="9" r:id="R3e434604e5ec41fa"/>
    <x:sheet xmlns:r="http://schemas.openxmlformats.org/officeDocument/2006/relationships" name="Audit_Notes" sheetId="10" r:id="R889912166dab4d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  <x:font>
      <x:i/>
      <x:sz val="11"/>
      <x:color rgb="FF666666"/>
      <x:name val="Carlito"/>
    </x:font>
    <x:font>
      <x:b/>
      <x:sz val="11"/>
      <x:color rgb="FF7F6000"/>
      <x:name val="Carlito"/>
    </x:font>
    <x:font>
      <x:b/>
      <x:sz val="11"/>
      <x:color rgb="FF9C0006"/>
      <x:name val="Carlito"/>
    </x:font>
    <x:font>
      <x:b/>
      <x:sz val="11"/>
      <x:color rgb="FFC000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2" fillId="8" borderId="0" xfId="0" applyNumberFormat="1" applyFont="1" applyFill="1" applyBorder="1" applyAlignment="1">
      <x:alignment horizontal="center" vertical="center"/>
    </x:xf>
    <x:xf numFmtId="0" fontId="2" fillId="8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200" fontId="0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wrapText="1"/>
    </x:xf>
    <x:xf numFmtId="200" fontId="4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8bf70591b94eac" /><Relationship Type="http://schemas.openxmlformats.org/officeDocument/2006/relationships/theme" Target="/xl/theme/theme1.xml" Id="R82bb519ff57c4488" /><Relationship Type="http://schemas.openxmlformats.org/officeDocument/2006/relationships/sharedStrings" Target="/xl/sharedStrings.xml" Id="R04c3e62f93aa4f63" /><Relationship Type="http://schemas.openxmlformats.org/officeDocument/2006/relationships/worksheet" Target="/xl/worksheets/sheet1.xml" Id="R187084be5ea34263" /><Relationship Type="http://schemas.openxmlformats.org/officeDocument/2006/relationships/worksheet" Target="/xl/worksheets/sheet2.xml" Id="R6970d174ca4c4d2a" /><Relationship Type="http://schemas.openxmlformats.org/officeDocument/2006/relationships/worksheet" Target="/xl/worksheets/sheet3.xml" Id="Rcbece95e80904e37" /><Relationship Type="http://schemas.openxmlformats.org/officeDocument/2006/relationships/worksheet" Target="/xl/worksheets/sheet4.xml" Id="Rd9fffc2657ee4418" /><Relationship Type="http://schemas.openxmlformats.org/officeDocument/2006/relationships/worksheet" Target="/xl/worksheets/sheet5.xml" Id="R55e12524eb5742e7" /><Relationship Type="http://schemas.openxmlformats.org/officeDocument/2006/relationships/worksheet" Target="/xl/worksheets/sheet6.xml" Id="R2bca2e580ff648d7" /><Relationship Type="http://schemas.openxmlformats.org/officeDocument/2006/relationships/worksheet" Target="/xl/worksheets/sheet7.xml" Id="R32b9ed1817734cb5" /><Relationship Type="http://schemas.openxmlformats.org/officeDocument/2006/relationships/worksheet" Target="/xl/worksheets/sheet8.xml" Id="Ra0373f971a5f49e1" /><Relationship Type="http://schemas.openxmlformats.org/officeDocument/2006/relationships/worksheet" Target="/xl/worksheets/sheet9.xml" Id="R3e434604e5ec41fa" /><Relationship Type="http://schemas.openxmlformats.org/officeDocument/2006/relationships/worksheet" Target="/xl/worksheets/sheet10.xml" Id="R889912166dab4d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48" hidden="0" customWidth="1"/>
    <x:col min="4" max="4" width="30" hidden="0" customWidth="1"/>
    <x:col min="5" max="5" width="42" hidden="0" customWidth="1"/>
    <x:col min="6" max="6" width="34" hidden="0" customWidth="1"/>
  </x:cols>
  <x:sheetData>
    <x:row r="1" ht="26" customHeight="1">
      <x:c r="A1" s="4" t="str">
        <x:v>Trade Weight Data Search — Stage 1</x:v>
      </x:c>
      <x:c r="B1" s="4"/>
      <x:c r="C1" s="4"/>
      <x:c r="D1" s="4"/>
      <x:c r="E1" s="4"/>
      <x:c r="F1" s="4"/>
    </x:row>
    <x:row r="3">
      <x:c r="A3" s="12" t="str">
        <x:v>Item</x:v>
      </x:c>
      <x:c r="B3" s="12" t="str">
        <x:v>Status</x:v>
      </x:c>
      <x:c r="C3" s="12" t="str">
        <x:v>Detail</x:v>
      </x:c>
      <x:c r="D3" s="12" t="str">
        <x:v>Do not use as</x:v>
      </x:c>
      <x:c r="E3" s="12" t="str">
        <x:v>Next action</x:v>
      </x:c>
      <x:c r="F3" s="12" t="str">
        <x:v>Source / note</x:v>
      </x:c>
    </x:row>
    <x:row r="4">
      <x:c r="A4" s="18" t="str">
        <x:v>Target economies</x:v>
      </x:c>
      <x:c r="B4" s="18" t="str">
        <x:v>Fixed</x:v>
      </x:c>
      <x:c r="C4" s="18" t="str">
        <x:v>AU, BR, CA, CH, CN, EA, UK, JP, KR, NO, SG, TR, US, ZA</x:v>
      </x:c>
      <x:c r="D4" s="18" t="str"/>
      <x:c r="E4" s="18" t="str"/>
      <x:c r="F4" s="18" t="str"/>
    </x:row>
    <x:row r="5">
      <x:c r="A5" s="18" t="str">
        <x:v>Method window</x:v>
      </x:c>
      <x:c r="B5" s="18" t="str">
        <x:v>Fixed</x:v>
      </x:c>
      <x:c r="C5" s="18" t="str">
        <x:v>2000–2014 average bilateral annual trade flows</x:v>
      </x:c>
      <x:c r="D5" s="18" t="str"/>
      <x:c r="E5" s="18" t="str"/>
      <x:c r="F5" s="18" t="str">
        <x:v>Following reference paper</x:v>
      </x:c>
    </x:row>
    <x:row r="6">
      <x:c r="A6" s="18" t="str">
        <x:v>Author replication package</x:v>
      </x:c>
      <x:c r="B6" s="18" t="str">
        <x:v>Obtained</x:v>
      </x:c>
      <x:c r="C6" s="18" t="str">
        <x:v>Replication_2019.zip downloaded and inspected</x:v>
      </x:c>
      <x:c r="D6" s="18" t="str"/>
      <x:c r="E6" s="18" t="str"/>
      <x:c r="F6" s="18" t="str">
        <x:v>Exact author package</x:v>
      </x:c>
    </x:row>
    <x:row r="7">
      <x:c r="A7" s="18" t="str">
        <x:v>Original paper W</x:v>
      </x:c>
      <x:c r="B7" s="18" t="str">
        <x:v>Extracted</x:v>
      </x:c>
      <x:c r="C7" s="18" t="str">
        <x:v>35×35 fixed trade-weight matrix; each row sums to 1; diagonal is 0</x:v>
      </x:c>
      <x:c r="D7" s="18" t="str"/>
      <x:c r="E7" s="18" t="str"/>
      <x:c r="F7" s="18" t="str">
        <x:v>See Paper_W_35x35</x:v>
      </x:c>
    </x:row>
    <x:row r="8">
      <x:c r="A8" s="18" t="str">
        <x:v>Selected 13 non-EA</x:v>
      </x:c>
      <x:c r="B8" s="18" t="str">
        <x:v>Calculated</x:v>
      </x:c>
      <x:c r="C8" s="18" t="str">
        <x:v>Exact re-normalization of the author's W among the 13 non-EA economies</x:v>
      </x:c>
      <x:c r="D8" s="18" t="str">
        <x:v>Final 14×14 matrix</x:v>
      </x:c>
      <x:c r="E8" s="18" t="str"/>
      <x:c r="F8" s="18" t="str">
        <x:v>See Selected_13_NoEA</x:v>
      </x:c>
    </x:row>
    <x:row r="9">
      <x:c r="A9" s="18" t="str">
        <x:v>Euro Area issue</x:v>
      </x:c>
      <x:c r="B9" s="18" t="str">
        <x:v>Pending official raw data</x:v>
      </x:c>
      <x:c r="C9" s="18" t="str">
        <x:v>The paper models euro-area members separately rather than one EA aggregate</x:v>
      </x:c>
      <x:c r="D9" s="18" t="str">
        <x:v>EA row/column inferred from normalized weights</x:v>
      </x:c>
      <x:c r="E9" s="18" t="str">
        <x:v>Extract raw 2000–2014 bilateral trade flows for EA from official data</x:v>
      </x:c>
      <x:c r="F9" s="18" t="str">
        <x:v>See EA_Status</x:v>
      </x:c>
    </x:row>
    <x:row r="10">
      <x:c r="A10" s="18" t="str">
        <x:v>Primary official raw source</x:v>
      </x:c>
      <x:c r="B10" s="18" t="str">
        <x:v>Identified</x:v>
      </x:c>
      <x:c r="C10" s="18" t="str">
        <x:v>IMF IMTS (formerly DOTS): merchandise exports/imports by trading partner</x:v>
      </x:c>
      <x:c r="D10" s="18" t="str"/>
      <x:c r="E10" s="18" t="str">
        <x:v>Use annual reporter-partner flows for 2000–2014</x:v>
      </x:c>
      <x:c r="F10" s="18" t="str">
        <x:v>See Sources</x:v>
      </x:c>
    </x:row>
    <x:row r="11">
      <x:c r="A11" s="18" t="str">
        <x:v>Fallback official source</x:v>
      </x:c>
      <x:c r="B11" s="18" t="str">
        <x:v>Identified</x:v>
      </x:c>
      <x:c r="C11" s="18" t="str">
        <x:v>UN Comtrade</x:v>
      </x:c>
      <x:c r="D11" s="18" t="str"/>
      <x:c r="E11" s="18" t="str">
        <x:v>Use only if IMF series are missing/inaccessible</x:v>
      </x:c>
      <x:c r="F11" s="18" t="str">
        <x:v>See Sources</x:v>
      </x:c>
    </x:row>
    <x:row r="12">
      <x:c r="A12" s="18" t="str">
        <x:v>Replication ZIP SHA-256</x:v>
      </x:c>
      <x:c r="B12" s="18" t="str">
        <x:v>Recorded</x:v>
      </x:c>
      <x:c r="C12" s="18" t="str">
        <x:v>a9dffdabed8e8ab8c9342c03a2d23ef15424b8e015eccd95e8042eda772d9a64</x:v>
      </x:c>
      <x:c r="D12" s="18" t="str"/>
      <x:c r="E12" s="18" t="str"/>
      <x:c r="F12" s="18" t="str">
        <x:v>Audit trail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2" hidden="0" customWidth="1"/>
    <x:col min="4" max="4" width="34" hidden="0" customWidth="1"/>
  </x:cols>
  <x:sheetData>
    <x:row r="1" ht="26" customHeight="1">
      <x:c r="A1" s="20" t="str">
        <x:v>Target 14 Economies</x:v>
      </x:c>
      <x:c r="B1" s="20"/>
      <x:c r="C1" s="20"/>
      <x:c r="D1" s="20"/>
    </x:row>
    <x:row r="3">
      <x:c r="A3" s="12" t="str">
        <x:v>Code</x:v>
      </x:c>
      <x:c r="B3" s="12" t="str">
        <x:v>Name</x:v>
      </x:c>
      <x:c r="C3" s="12" t="str">
        <x:v>Paper source code</x:v>
      </x:c>
      <x:c r="D3" s="12" t="str">
        <x:v>Current status</x:v>
      </x:c>
    </x:row>
    <x:row r="4">
      <x:c r="A4" t="str">
        <x:v>AU</x:v>
      </x:c>
      <x:c r="B4" t="str">
        <x:v>Australia</x:v>
      </x:c>
      <x:c r="C4" t="str">
        <x:v>AU</x:v>
      </x:c>
      <x:c r="D4" t="str">
        <x:v>Available in author W</x:v>
      </x:c>
    </x:row>
    <x:row r="5">
      <x:c r="A5" t="str">
        <x:v>BR</x:v>
      </x:c>
      <x:c r="B5" t="str">
        <x:v>Brazil</x:v>
      </x:c>
      <x:c r="C5" t="str">
        <x:v>BR</x:v>
      </x:c>
      <x:c r="D5" t="str">
        <x:v>Available in author W</x:v>
      </x:c>
    </x:row>
    <x:row r="6">
      <x:c r="A6" t="str">
        <x:v>CA</x:v>
      </x:c>
      <x:c r="B6" t="str">
        <x:v>Canada</x:v>
      </x:c>
      <x:c r="C6" t="str">
        <x:v>CA</x:v>
      </x:c>
      <x:c r="D6" t="str">
        <x:v>Available in author W</x:v>
      </x:c>
    </x:row>
    <x:row r="7">
      <x:c r="A7" t="str">
        <x:v>CH</x:v>
      </x:c>
      <x:c r="B7" t="str">
        <x:v>Switzerland</x:v>
      </x:c>
      <x:c r="C7" t="str">
        <x:v>CH</x:v>
      </x:c>
      <x:c r="D7" t="str">
        <x:v>Available in author W</x:v>
      </x:c>
    </x:row>
    <x:row r="8">
      <x:c r="A8" t="str">
        <x:v>CN</x:v>
      </x:c>
      <x:c r="B8" t="str">
        <x:v>China</x:v>
      </x:c>
      <x:c r="C8" t="str">
        <x:v>CN</x:v>
      </x:c>
      <x:c r="D8" t="str">
        <x:v>Available in author W</x:v>
      </x:c>
    </x:row>
    <x:row r="9">
      <x:c r="A9" t="str">
        <x:v>EA</x:v>
      </x:c>
      <x:c r="B9" t="str">
        <x:v>Euro_Area</x:v>
      </x:c>
      <x:c r="C9" t="str">
        <x:v>No single EA node</x:v>
      </x:c>
      <x:c r="D9" t="str">
        <x:v>Needs official raw bilateral flows</x:v>
      </x:c>
    </x:row>
    <x:row r="10">
      <x:c r="A10" t="str">
        <x:v>UK</x:v>
      </x:c>
      <x:c r="B10" t="str">
        <x:v>United_Kingdom</x:v>
      </x:c>
      <x:c r="C10" t="str">
        <x:v>GB</x:v>
      </x:c>
      <x:c r="D10" t="str">
        <x:v>Mapped from paper GB → display UK</x:v>
      </x:c>
    </x:row>
    <x:row r="11">
      <x:c r="A11" t="str">
        <x:v>JP</x:v>
      </x:c>
      <x:c r="B11" t="str">
        <x:v>Japan</x:v>
      </x:c>
      <x:c r="C11" t="str">
        <x:v>JP</x:v>
      </x:c>
      <x:c r="D11" t="str">
        <x:v>Available in author W</x:v>
      </x:c>
    </x:row>
    <x:row r="12">
      <x:c r="A12" t="str">
        <x:v>KR</x:v>
      </x:c>
      <x:c r="B12" t="str">
        <x:v>Korea</x:v>
      </x:c>
      <x:c r="C12" t="str">
        <x:v>KR</x:v>
      </x:c>
      <x:c r="D12" t="str">
        <x:v>Available in author W</x:v>
      </x:c>
    </x:row>
    <x:row r="13">
      <x:c r="A13" t="str">
        <x:v>NO</x:v>
      </x:c>
      <x:c r="B13" t="str">
        <x:v>Norway</x:v>
      </x:c>
      <x:c r="C13" t="str">
        <x:v>NO</x:v>
      </x:c>
      <x:c r="D13" t="str">
        <x:v>Available in author W</x:v>
      </x:c>
    </x:row>
    <x:row r="14">
      <x:c r="A14" t="str">
        <x:v>SG</x:v>
      </x:c>
      <x:c r="B14" t="str">
        <x:v>Singapore</x:v>
      </x:c>
      <x:c r="C14" t="str">
        <x:v>SG</x:v>
      </x:c>
      <x:c r="D14" t="str">
        <x:v>Available in author W</x:v>
      </x:c>
    </x:row>
    <x:row r="15">
      <x:c r="A15" t="str">
        <x:v>TR</x:v>
      </x:c>
      <x:c r="B15" t="str">
        <x:v>Turkey</x:v>
      </x:c>
      <x:c r="C15" t="str">
        <x:v>TR</x:v>
      </x:c>
      <x:c r="D15" t="str">
        <x:v>Available in author W</x:v>
      </x:c>
    </x:row>
    <x:row r="16">
      <x:c r="A16" t="str">
        <x:v>US</x:v>
      </x:c>
      <x:c r="B16" t="str">
        <x:v>United_States</x:v>
      </x:c>
      <x:c r="C16" t="str">
        <x:v>US</x:v>
      </x:c>
      <x:c r="D16" t="str">
        <x:v>Available in author W</x:v>
      </x:c>
    </x:row>
    <x:row r="17">
      <x:c r="A17" t="str">
        <x:v>ZA</x:v>
      </x:c>
      <x:c r="B17" t="str">
        <x:v>South_Africa</x:v>
      </x:c>
      <x:c r="C17" t="str">
        <x:v>ZA</x:v>
      </x:c>
      <x:c r="D17" t="str">
        <x:v>Available in author W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2" hidden="0" customWidth="1"/>
  </x:cols>
  <x:sheetData>
    <x:row r="1" ht="26" customHeight="1">
      <x:c r="A1" s="4" t="str">
        <x:v>Exact fixed trade-weight matrix extracted from the authors' replication package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</x:row>
    <x:row r="2">
      <x:c r="A2" s="23" t="str">
        <x:v>Original paper codes are preserved here (including GB). Values are stored GVAR trade weights, not reconstructed estimates.</x:v>
      </x:c>
    </x:row>
    <x:row r="4">
      <x:c r="A4" s="12" t="str">
        <x:v>Reporter</x:v>
      </x:c>
      <x:c r="B4" s="12" t="str">
        <x:v>AT</x:v>
      </x:c>
      <x:c r="C4" s="12" t="str">
        <x:v>BE</x:v>
      </x:c>
      <x:c r="D4" s="12" t="str">
        <x:v>DE</x:v>
      </x:c>
      <x:c r="E4" s="12" t="str">
        <x:v>ES</x:v>
      </x:c>
      <x:c r="F4" s="12" t="str">
        <x:v>FI</x:v>
      </x:c>
      <x:c r="G4" s="12" t="str">
        <x:v>FR</x:v>
      </x:c>
      <x:c r="H4" s="12" t="str">
        <x:v>GR</x:v>
      </x:c>
      <x:c r="I4" s="12" t="str">
        <x:v>IT</x:v>
      </x:c>
      <x:c r="J4" s="12" t="str">
        <x:v>NL</x:v>
      </x:c>
      <x:c r="K4" s="12" t="str">
        <x:v>PT</x:v>
      </x:c>
      <x:c r="L4" s="12" t="str">
        <x:v>AU</x:v>
      </x:c>
      <x:c r="M4" s="12" t="str">
        <x:v>CA</x:v>
      </x:c>
      <x:c r="N4" s="12" t="str">
        <x:v>CH</x:v>
      </x:c>
      <x:c r="O4" s="12" t="str">
        <x:v>JP</x:v>
      </x:c>
      <x:c r="P4" s="12" t="str">
        <x:v>NO</x:v>
      </x:c>
      <x:c r="Q4" s="12" t="str">
        <x:v>SE</x:v>
      </x:c>
      <x:c r="R4" s="12" t="str">
        <x:v>GB</x:v>
      </x:c>
      <x:c r="S4" s="12" t="str">
        <x:v>US</x:v>
      </x:c>
      <x:c r="T4" s="12" t="str">
        <x:v>AR</x:v>
      </x:c>
      <x:c r="U4" s="12" t="str">
        <x:v>BR</x:v>
      </x:c>
      <x:c r="V4" s="12" t="str">
        <x:v>CL</x:v>
      </x:c>
      <x:c r="W4" s="12" t="str">
        <x:v>CN</x:v>
      </x:c>
      <x:c r="X4" s="12" t="str">
        <x:v>ID</x:v>
      </x:c>
      <x:c r="Y4" s="12" t="str">
        <x:v>IN</x:v>
      </x:c>
      <x:c r="Z4" s="12" t="str">
        <x:v>KR</x:v>
      </x:c>
      <x:c r="AA4" s="12" t="str">
        <x:v>MX</x:v>
      </x:c>
      <x:c r="AB4" s="12" t="str">
        <x:v>MY</x:v>
      </x:c>
      <x:c r="AC4" s="12" t="str">
        <x:v>PE</x:v>
      </x:c>
      <x:c r="AD4" s="12" t="str">
        <x:v>PH</x:v>
      </x:c>
      <x:c r="AE4" s="12" t="str">
        <x:v>SA</x:v>
      </x:c>
      <x:c r="AF4" s="12" t="str">
        <x:v>SG</x:v>
      </x:c>
      <x:c r="AG4" s="12" t="str">
        <x:v>TH</x:v>
      </x:c>
      <x:c r="AH4" s="12" t="str">
        <x:v>ZA</x:v>
      </x:c>
      <x:c r="AI4" s="12" t="str">
        <x:v>TR</x:v>
      </x:c>
      <x:c r="AJ4" s="12" t="str">
        <x:v>DK</x:v>
      </x:c>
      <x:c r="AK4" s="12" t="str">
        <x:v>Row_Sum</x:v>
      </x:c>
    </x:row>
    <x:row r="5">
      <x:c r="A5" t="str">
        <x:v>AT</x:v>
      </x:c>
      <x:c r="B5" s="26" t="n">
        <x:v>0</x:v>
      </x:c>
      <x:c r="C5" s="26" t="n">
        <x:v>0.023803992799685935</x:v>
      </x:c>
      <x:c r="D5" s="26" t="n">
        <x:v>0.48822955384878575</x:v>
      </x:c>
      <x:c r="E5" s="26" t="n">
        <x:v>0.02234613147350946</x:v>
      </x:c>
      <x:c r="F5" s="26" t="n">
        <x:v>0.006726308875594504</x:v>
      </x:c>
      <x:c r="G5" s="26" t="n">
        <x:v>0.047927524865886605</x:v>
      </x:c>
      <x:c r="H5" s="26" t="n">
        <x:v>0.004089012607938232</x:v>
      </x:c>
      <x:c r="I5" s="26" t="n">
        <x:v>0.09808685008498552</x:v>
      </x:c>
      <x:c r="J5" s="26" t="n">
        <x:v>0.03893108262983304</x:v>
      </x:c>
      <x:c r="K5" s="26" t="n">
        <x:v>0.0036731653184457883</x:v>
      </x:c>
      <x:c r="L5" s="26" t="n">
        <x:v>0.003602095630391974</x:v>
      </x:c>
      <x:c r="M5" s="26" t="n">
        <x:v>0.005995421327117242</x:v>
      </x:c>
      <x:c r="N5" s="26" t="n">
        <x:v>0.06429842568021793</x:v>
      </x:c>
      <x:c r="O5" s="26" t="n">
        <x:v>0.012392095602227456</x:v>
      </x:c>
      <x:c r="P5" s="26" t="n">
        <x:v>0.004124236544940715</x:v>
      </x:c>
      <x:c r="Q5" s="26" t="n">
        <x:v>0.01469730659050103</x:v>
      </x:c>
      <x:c r="R5" s="26" t="n">
        <x:v>0.03529486038134832</x:v>
      </x:c>
      <x:c r="S5" s="26" t="n">
        <x:v>0.04439657207814242</x:v>
      </x:c>
      <x:c r="T5" s="26" t="n">
        <x:v>0.0009373663899923346</x:v>
      </x:c>
      <x:c r="U5" s="26" t="n">
        <x:v>0.004114689870426023</x:v>
      </x:c>
      <x:c r="V5" s="26" t="n">
        <x:v>0.0010006816910840242</x:v>
      </x:c>
      <x:c r="W5" s="26" t="n">
        <x:v>0.02470463558349915</x:v>
      </x:c>
      <x:c r="X5" s="26" t="n">
        <x:v>0.00154736597191383</x:v>
      </x:c>
      <x:c r="Y5" s="26" t="n">
        <x:v>0.004003238846493973</x:v>
      </x:c>
      <x:c r="Z5" s="26" t="n">
        <x:v>0.006646789831935734</x:v>
      </x:c>
      <x:c r="AA5" s="26" t="n">
        <x:v>0.0023852421140902226</x:v>
      </x:c>
      <x:c r="AB5" s="26" t="n">
        <x:v>0.0025157864870516554</x:v>
      </x:c>
      <x:c r="AC5" s="26" t="n">
        <x:v>0.0002761220149862307</x:v>
      </x:c>
      <x:c r="AD5" s="26" t="n">
        <x:v>0.0012534673905898977</x:v>
      </x:c>
      <x:c r="AE5" s="26" t="n">
        <x:v>0.003639148432244014</x:v>
      </x:c>
      <x:c r="AF5" s="26" t="n">
        <x:v>0.002433889919088459</x:v>
      </x:c>
      <x:c r="AG5" s="26" t="n">
        <x:v>0.0026199220515854744</x:v>
      </x:c>
      <x:c r="AH5" s="26" t="n">
        <x:v>0.0039012979197796237</x:v>
      </x:c>
      <x:c r="AI5" s="26" t="n">
        <x:v>0.01218539729693044</x:v>
      </x:c>
      <x:c r="AJ5" s="26" t="n">
        <x:v>0.0072203218487570464</x:v>
      </x:c>
      <x:c r="AK5" s="26" t="n">
        <x:f>SUM(B5:AJ5)</x:f>
        <x:v>1.0000000000000002</x:v>
      </x:c>
    </x:row>
    <x:row r="6">
      <x:c r="A6" t="str">
        <x:v>BE</x:v>
      </x:c>
      <x:c r="B6" s="26" t="n">
        <x:v>0.009567405516674475</x:v>
      </x:c>
      <x:c r="C6" s="26" t="n">
        <x:v>0</x:v>
      </x:c>
      <x:c r="D6" s="26" t="n">
        <x:v>0.21007652868542454</x:v>
      </x:c>
      <x:c r="E6" s="26" t="n">
        <x:v>0.031407506729739444</x:v>
      </x:c>
      <x:c r="F6" s="26" t="n">
        <x:v>0.007024233334502457</x:v>
      </x:c>
      <x:c r="G6" s="26" t="n">
        <x:v>0.1689411319050885</x:v>
      </x:c>
      <x:c r="H6" s="26" t="n">
        <x:v>0.004244927651151967</x:v>
      </x:c>
      <x:c r="I6" s="26" t="n">
        <x:v>0.049278748711458556</x:v>
      </x:c>
      <x:c r="J6" s="26" t="n">
        <x:v>0.1780440849093731</x:v>
      </x:c>
      <x:c r="K6" s="26" t="n">
        <x:v>0.0066238387315080815</x:v>
      </x:c>
      <x:c r="L6" s="26" t="n">
        <x:v>0.004737789362853531</x:v>
      </x:c>
      <x:c r="M6" s="26" t="n">
        <x:v>0.006903187146266919</x:v>
      </x:c>
      <x:c r="N6" s="26" t="n">
        <x:v>0.013558192363680404</x:v>
      </x:c>
      <x:c r="O6" s="26" t="n">
        <x:v>0.0202250630608432</x:v>
      </x:c>
      <x:c r="P6" s="26" t="n">
        <x:v>0.009521524790463207</x:v>
      </x:c>
      <x:c r="Q6" s="26" t="n">
        <x:v>0.020405645731168893</x:v>
      </x:c>
      <x:c r="R6" s="26" t="n">
        <x:v>0.08491248320080673</x:v>
      </x:c>
      <x:c r="S6" s="26" t="n">
        <x:v>0.06789552962562007</x:v>
      </x:c>
      <x:c r="T6" s="26" t="n">
        <x:v>0.0013239287993854203</x:v>
      </x:c>
      <x:c r="U6" s="26" t="n">
        <x:v>0.007652816271618499</x:v>
      </x:c>
      <x:c r="V6" s="26" t="n">
        <x:v>0.001386392448285979</x:v>
      </x:c>
      <x:c r="W6" s="26" t="n">
        <x:v>0.02792114651687796</x:v>
      </x:c>
      <x:c r="X6" s="26" t="n">
        <x:v>0.002832269107826214</x:v>
      </x:c>
      <x:c r="Y6" s="26" t="n">
        <x:v>0.01762849621979928</x:v>
      </x:c>
      <x:c r="Z6" s="26" t="n">
        <x:v>0.0053112004326770716</x:v>
      </x:c>
      <x:c r="AA6" s="26" t="n">
        <x:v>0.0035522345338045167</x:v>
      </x:c>
      <x:c r="AB6" s="26" t="n">
        <x:v>0.0019564059137760154</x:v>
      </x:c>
      <x:c r="AC6" s="26" t="n">
        <x:v>0.0007822069238262858</x:v>
      </x:c>
      <x:c r="AD6" s="26" t="n">
        <x:v>0.0009028610807925743</x:v>
      </x:c>
      <x:c r="AE6" s="26" t="n">
        <x:v>0.0035917643534539288</x:v>
      </x:c>
      <x:c r="AF6" s="26" t="n">
        <x:v>0.004408182539376797</x:v>
      </x:c>
      <x:c r="AG6" s="26" t="n">
        <x:v>0.00396581445515468</x:v>
      </x:c>
      <x:c r="AH6" s="26" t="n">
        <x:v>0.005521446802376043</x:v>
      </x:c>
      <x:c r="AI6" s="26" t="n">
        <x:v>0.010779435524106864</x:v>
      </x:c>
      <x:c r="AJ6" s="26" t="n">
        <x:v>0.007115576620237794</x:v>
      </x:c>
      <x:c r="AK6" s="26" t="n">
        <x:f>SUM(B6:AJ6)</x:f>
        <x:v>0.9999999999999997</x:v>
      </x:c>
    </x:row>
    <x:row r="7">
      <x:c r="A7" t="str">
        <x:v>DE</x:v>
      </x:c>
      <x:c r="B7" s="26" t="n">
        <x:v>0.06314233866668287</x:v>
      </x:c>
      <x:c r="C7" s="26" t="n">
        <x:v>0.07167932353385979</x:v>
      </x:c>
      <x:c r="D7" s="26" t="n">
        <x:v>0</x:v>
      </x:c>
      <x:c r="E7" s="26" t="n">
        <x:v>0.045800086475578844</x:v>
      </x:c>
      <x:c r="F7" s="26" t="n">
        <x:v>0.012099847262767189</x:v>
      </x:c>
      <x:c r="G7" s="26" t="n">
        <x:v>0.1200521907864875</x:v>
      </x:c>
      <x:c r="H7" s="26" t="n">
        <x:v>0.006544221003696848</x:v>
      </x:c>
      <x:c r="I7" s="26" t="n">
        <x:v>0.08038266691098442</x:v>
      </x:c>
      <x:c r="J7" s="26" t="n">
        <x:v>0.11192038158124101</x:v>
      </x:c>
      <x:c r="K7" s="26" t="n">
        <x:v>0.009799013204624823</x:v>
      </x:c>
      <x:c r="L7" s="26" t="n">
        <x:v>0.005616431841813148</x:v>
      </x:c>
      <x:c r="M7" s="26" t="n">
        <x:v>0.0069279957617541105</x:v>
      </x:c>
      <x:c r="N7" s="26" t="n">
        <x:v>0.05179783847342707</x:v>
      </x:c>
      <x:c r="O7" s="26" t="n">
        <x:v>0.026284130466180087</x:v>
      </x:c>
      <x:c r="P7" s="26" t="n">
        <x:v>0.018467745181161347</x:v>
      </x:c>
      <x:c r="Q7" s="26" t="n">
        <x:v>0.02464646233507702</x:v>
      </x:c>
      <x:c r="R7" s="26" t="n">
        <x:v>0.08320441590464168</x:v>
      </x:c>
      <x:c r="S7" s="26" t="n">
        <x:v>0.08472506453851833</x:v>
      </x:c>
      <x:c r="T7" s="26" t="n">
        <x:v>0.002203380813585653</x:v>
      </x:c>
      <x:c r="U7" s="26" t="n">
        <x:v>0.010272081041583907</x:v>
      </x:c>
      <x:c r="V7" s="26" t="n">
        <x:v>0.0020818099701045097</x:v>
      </x:c>
      <x:c r="W7" s="26" t="n">
        <x:v>0.05962028717986817</x:v>
      </x:c>
      <x:c r="X7" s="26" t="n">
        <x:v>0.003550700270991592</x:v>
      </x:c>
      <x:c r="Y7" s="26" t="n">
        <x:v>0.008442439847192708</x:v>
      </x:c>
      <x:c r="Z7" s="26" t="n">
        <x:v>0.012570853637247675</x:v>
      </x:c>
      <x:c r="AA7" s="26" t="n">
        <x:v>0.007331583744758486</x:v>
      </x:c>
      <x:c r="AB7" s="26" t="n">
        <x:v>0.005970902583120851</x:v>
      </x:c>
      <x:c r="AC7" s="26" t="n">
        <x:v>0.0009125776856968803</x:v>
      </x:c>
      <x:c r="AD7" s="26" t="n">
        <x:v>0.0023350674399385475</x:v>
      </x:c>
      <x:c r="AE7" s="26" t="n">
        <x:v>0.004566346040367821</x:v>
      </x:c>
      <x:c r="AF7" s="26" t="n">
        <x:v>0.006582501706691843</x:v>
      </x:c>
      <x:c r="AG7" s="26" t="n">
        <x:v>0.004115495627872455</x:v>
      </x:c>
      <x:c r="AH7" s="26" t="n">
        <x:v>0.008258208608763076</x:v>
      </x:c>
      <x:c r="AI7" s="26" t="n">
        <x:v>0.01790755661329134</x:v>
      </x:c>
      <x:c r="AJ7" s="26" t="n">
        <x:v>0.02018805326042846</x:v>
      </x:c>
      <x:c r="AK7" s="26" t="n">
        <x:f>SUM(B7:AJ7)</x:f>
        <x:v>1</x:v>
      </x:c>
    </x:row>
    <x:row r="8">
      <x:c r="A8" t="str">
        <x:v>ES</x:v>
      </x:c>
      <x:c r="B8" s="26" t="n">
        <x:v>0.011096885121687034</x:v>
      </x:c>
      <x:c r="C8" s="26" t="n">
        <x:v>0.04024713510574255</x:v>
      </x:c>
      <x:c r="D8" s="26" t="n">
        <x:v>0.16482206432495314</x:v>
      </x:c>
      <x:c r="E8" s="26" t="n">
        <x:v>0</x:v>
      </x:c>
      <x:c r="F8" s="26" t="n">
        <x:v>0.006136756949678911</x:v>
      </x:c>
      <x:c r="G8" s="26" t="n">
        <x:v>0.19755044194764967</x:v>
      </x:c>
      <x:c r="H8" s="26" t="n">
        <x:v>0.007154813539481098</x:v>
      </x:c>
      <x:c r="I8" s="26" t="n">
        <x:v>0.10365777985809582</x:v>
      </x:c>
      <x:c r="J8" s="26" t="n">
        <x:v>0.05316675621249561</x:v>
      </x:c>
      <x:c r="K8" s="26" t="n">
        <x:v>0.07174978898459962</x:v>
      </x:c>
      <x:c r="L8" s="26" t="n">
        <x:v>0.0046308997570709744</x:v>
      </x:c>
      <x:c r="M8" s="26" t="n">
        <x:v>0.005086488902166367</x:v>
      </x:c>
      <x:c r="N8" s="26" t="n">
        <x:v>0.01704659556192888</x:v>
      </x:c>
      <x:c r="O8" s="26" t="n">
        <x:v>0.015758725330775436</x:v>
      </x:c>
      <x:c r="P8" s="26" t="n">
        <x:v>0.0073366242642726644</x:v>
      </x:c>
      <x:c r="Q8" s="26" t="n">
        <x:v>0.013456877110177718</x:v>
      </x:c>
      <x:c r="R8" s="26" t="n">
        <x:v>0.07926289333784724</x:v>
      </x:c>
      <x:c r="S8" s="26" t="n">
        <x:v>0.043751658235599004</x:v>
      </x:c>
      <x:c r="T8" s="26" t="n">
        <x:v>0.007429407679856507</x:v>
      </x:c>
      <x:c r="U8" s="26" t="n">
        <x:v>0.012092215370890273</x:v>
      </x:c>
      <x:c r="V8" s="26" t="n">
        <x:v>0.004936453319698035</x:v>
      </x:c>
      <x:c r="W8" s="26" t="n">
        <x:v>0.04052901381605953</x:v>
      </x:c>
      <x:c r="X8" s="26" t="n">
        <x:v>0.005323977264401927</x:v>
      </x:c>
      <x:c r="Y8" s="26" t="n">
        <x:v>0.007339602591045648</x:v>
      </x:c>
      <x:c r="Z8" s="26" t="n">
        <x:v>0.008639367159056801</x:v>
      </x:c>
      <x:c r="AA8" s="26" t="n">
        <x:v>0.016101688195289912</x:v>
      </x:c>
      <x:c r="AB8" s="26" t="n">
        <x:v>0.0022761435532257916</x:v>
      </x:c>
      <x:c r="AC8" s="26" t="n">
        <x:v>0.0030624977022303797</x:v>
      </x:c>
      <x:c r="AD8" s="26" t="n">
        <x:v>0.0008736931073664797</x:v>
      </x:c>
      <x:c r="AE8" s="26" t="n">
        <x:v>0.012385476221740943</x:v>
      </x:c>
      <x:c r="AF8" s="26" t="n">
        <x:v>0.0022411245008504546</x:v>
      </x:c>
      <x:c r="AG8" s="26" t="n">
        <x:v>0.0035256370005464564</x:v>
      </x:c>
      <x:c r="AH8" s="26" t="n">
        <x:v>0.00538542185304966</x:v>
      </x:c>
      <x:c r="AI8" s="26" t="n">
        <x:v>0.01685258697653204</x:v>
      </x:c>
      <x:c r="AJ8" s="26" t="n">
        <x:v>0.009092509143937449</x:v>
      </x:c>
      <x:c r="AK8" s="26" t="n">
        <x:f>SUM(B8:AJ8)</x:f>
        <x:v>0.9999999999999999</x:v>
      </x:c>
    </x:row>
    <x:row r="9">
      <x:c r="A9" t="str">
        <x:v>FI</x:v>
      </x:c>
      <x:c r="B9" s="26" t="n">
        <x:v>0.012570064948797881</x:v>
      </x:c>
      <x:c r="C9" s="26" t="n">
        <x:v>0.037438806898923725</x:v>
      </x:c>
      <x:c r="D9" s="26" t="n">
        <x:v>0.17388571623145152</x:v>
      </x:c>
      <x:c r="E9" s="26" t="n">
        <x:v>0.024971205543530318</x:v>
      </x:c>
      <x:c r="F9" s="26" t="n">
        <x:v>0</x:v>
      </x:c>
      <x:c r="G9" s="26" t="n">
        <x:v>0.04913480741374081</x:v>
      </x:c>
      <x:c r="H9" s="26" t="n">
        <x:v>0.005472508674261676</x:v>
      </x:c>
      <x:c r="I9" s="26" t="n">
        <x:v>0.040949200237290685</x:v>
      </x:c>
      <x:c r="J9" s="26" t="n">
        <x:v>0.08015503553893508</x:v>
      </x:c>
      <x:c r="K9" s="26" t="n">
        <x:v>0.005962490827477862</x:v>
      </x:c>
      <x:c r="L9" s="26" t="n">
        <x:v>0.010796632571489443</x:v>
      </x:c>
      <x:c r="M9" s="26" t="n">
        <x:v>0.010802177476315447</x:v>
      </x:c>
      <x:c r="N9" s="26" t="n">
        <x:v>0.01352878680293908</x:v>
      </x:c>
      <x:c r="O9" s="26" t="n">
        <x:v>0.02356022250843997</x:v>
      </x:c>
      <x:c r="P9" s="26" t="n">
        <x:v>0.03627734458100356</x:v>
      </x:c>
      <x:c r="Q9" s="26" t="n">
        <x:v>0.16186670548620694</x:v>
      </x:c>
      <x:c r="R9" s="26" t="n">
        <x:v>0.07397816775726875</x:v>
      </x:c>
      <x:c r="S9" s="26" t="n">
        <x:v>0.06637625943531938</x:v>
      </x:c>
      <x:c r="T9" s="26" t="n">
        <x:v>0.001793737662586762</x:v>
      </x:c>
      <x:c r="U9" s="26" t="n">
        <x:v>0.0101081272060521</x:v>
      </x:c>
      <x:c r="V9" s="26" t="n">
        <x:v>0.004087922510033154</x:v>
      </x:c>
      <x:c r="W9" s="26" t="n">
        <x:v>0.052071420248492956</x:v>
      </x:c>
      <x:c r="X9" s="26" t="n">
        <x:v>0.0030542272948642936</x:v>
      </x:c>
      <x:c r="Y9" s="26" t="n">
        <x:v>0.007200800840451377</x:v>
      </x:c>
      <x:c r="Z9" s="26" t="n">
        <x:v>0.01168655074743755</x:v>
      </x:c>
      <x:c r="AA9" s="26" t="n">
        <x:v>0.0030867157513096125</x:v>
      </x:c>
      <x:c r="AB9" s="26" t="n">
        <x:v>0.004486140393241527</x:v>
      </x:c>
      <x:c r="AC9" s="26" t="n">
        <x:v>0.0026555408281494983</x:v>
      </x:c>
      <x:c r="AD9" s="26" t="n">
        <x:v>0.002317535925516465</x:v>
      </x:c>
      <x:c r="AE9" s="26" t="n">
        <x:v>0.005364031592524781</x:v>
      </x:c>
      <x:c r="AF9" s="26" t="n">
        <x:v>0.003749449023893698</x:v>
      </x:c>
      <x:c r="AG9" s="26" t="n">
        <x:v>0.003968121326891039</x:v>
      </x:c>
      <x:c r="AH9" s="26" t="n">
        <x:v>0.0060172370004782675</x:v>
      </x:c>
      <x:c r="AI9" s="26" t="n">
        <x:v>0.010243704033910452</x:v>
      </x:c>
      <x:c r="AJ9" s="26" t="n">
        <x:v>0.04038260468077436</x:v>
      </x:c>
      <x:c r="AK9" s="26" t="n">
        <x:f>SUM(B9:AJ9)</x:f>
        <x:v>1</x:v>
      </x:c>
    </x:row>
    <x:row r="10">
      <x:c r="A10" t="str">
        <x:v>FR</x:v>
      </x:c>
      <x:c r="B10" s="26" t="n">
        <x:v>0.01154460269618352</x:v>
      </x:c>
      <x:c r="C10" s="26" t="n">
        <x:v>0.11130217633529588</x:v>
      </x:c>
      <x:c r="D10" s="26" t="n">
        <x:v>0.21396373659721965</x:v>
      </x:c>
      <x:c r="E10" s="26" t="n">
        <x:v>0.09395543827338573</x:v>
      </x:c>
      <x:c r="F10" s="26" t="n">
        <x:v>0.005917004504836793</x:v>
      </x:c>
      <x:c r="G10" s="26" t="n">
        <x:v>0</x:v>
      </x:c>
      <x:c r="H10" s="26" t="n">
        <x:v>0.005700730574806461</x:v>
      </x:c>
      <x:c r="I10" s="26" t="n">
        <x:v>0.10355426561309429</x:v>
      </x:c>
      <x:c r="J10" s="26" t="n">
        <x:v>0.06923635673622566</x:v>
      </x:c>
      <x:c r="K10" s="26" t="n">
        <x:v>0.014670601258503455</x:v>
      </x:c>
      <x:c r="L10" s="26" t="n">
        <x:v>0.005148547032952018</x:v>
      </x:c>
      <x:c r="M10" s="26" t="n">
        <x:v>0.007324596336253711</x:v>
      </x:c>
      <x:c r="N10" s="26" t="n">
        <x:v>0.03460632556530629</x:v>
      </x:c>
      <x:c r="O10" s="26" t="n">
        <x:v>0.01785432492250396</x:v>
      </x:c>
      <x:c r="P10" s="26" t="n">
        <x:v>0.010356725784658042</x:v>
      </x:c>
      <x:c r="Q10" s="26" t="n">
        <x:v>0.015794034512946722</x:v>
      </x:c>
      <x:c r="R10" s="26" t="n">
        <x:v>0.0866791156656057</x:v>
      </x:c>
      <x:c r="S10" s="26" t="n">
        <x:v>0.06897351595395883</x:v>
      </x:c>
      <x:c r="T10" s="26" t="n">
        <x:v>0.0020269155316431477</x:v>
      </x:c>
      <x:c r="U10" s="26" t="n">
        <x:v>0.00876998458136931</x:v>
      </x:c>
      <x:c r="V10" s="26" t="n">
        <x:v>0.002611556959390645</x:v>
      </x:c>
      <x:c r="W10" s="26" t="n">
        <x:v>0.03613708485966731</x:v>
      </x:c>
      <x:c r="X10" s="26" t="n">
        <x:v>0.0023957914605798976</x:v>
      </x:c>
      <x:c r="Y10" s="26" t="n">
        <x:v>0.006891748864938652</x:v>
      </x:c>
      <x:c r="Z10" s="26" t="n">
        <x:v>0.007908366167624779</x:v>
      </x:c>
      <x:c r="AA10" s="26" t="n">
        <x:v>0.003521476338995608</x:v>
      </x:c>
      <x:c r="AB10" s="26" t="n">
        <x:v>0.004112518552632505</x:v>
      </x:c>
      <x:c r="AC10" s="26" t="n">
        <x:v>0.00044506797884290587</x:v>
      </x:c>
      <x:c r="AD10" s="26" t="n">
        <x:v>0.001328648805447659</x:v>
      </x:c>
      <x:c r="AE10" s="26" t="n">
        <x:v>0.008514552368302128</x:v>
      </x:c>
      <x:c r="AF10" s="26" t="n">
        <x:v>0.009414221411355131</x:v>
      </x:c>
      <x:c r="AG10" s="26" t="n">
        <x:v>0.0035913493151726542</x:v>
      </x:c>
      <x:c r="AH10" s="26" t="n">
        <x:v>0.0037006529482541857</x:v>
      </x:c>
      <x:c r="AI10" s="26" t="n">
        <x:v>0.013290446554686202</x:v>
      </x:c>
      <x:c r="AJ10" s="26" t="n">
        <x:v>0.008757518937360593</x:v>
      </x:c>
      <x:c r="AK10" s="26" t="n">
        <x:f>SUM(B10:AJ10)</x:f>
        <x:v>1</x:v>
      </x:c>
    </x:row>
    <x:row r="11">
      <x:c r="A11" t="str">
        <x:v>GR</x:v>
      </x:c>
      <x:c r="B11" s="26" t="n">
        <x:v>0.014904684977094733</x:v>
      </x:c>
      <x:c r="C11" s="26" t="n">
        <x:v>0.04277183511494537</x:v>
      </x:c>
      <x:c r="D11" s="26" t="n">
        <x:v>0.17360525597575285</x:v>
      </x:c>
      <x:c r="E11" s="26" t="n">
        <x:v>0.04834816827021107</x:v>
      </x:c>
      <x:c r="F11" s="26" t="n">
        <x:v>0.011896113492573539</x:v>
      </x:c>
      <x:c r="G11" s="26" t="n">
        <x:v>0.07534780359902932</x:v>
      </x:c>
      <x:c r="H11" s="26" t="n">
        <x:v>0</x:v>
      </x:c>
      <x:c r="I11" s="26" t="n">
        <x:v>0.1638684121767583</x:v>
      </x:c>
      <x:c r="J11" s="26" t="n">
        <x:v>0.06581760223836623</x:v>
      </x:c>
      <x:c r="K11" s="26" t="n">
        <x:v>0.005295469244717094</x:v>
      </x:c>
      <x:c r="L11" s="26" t="n">
        <x:v>0.0026736162796445967</x:v>
      </x:c>
      <x:c r="M11" s="26" t="n">
        <x:v>0.004379203800796689</x:v>
      </x:c>
      <x:c r="N11" s="26" t="n">
        <x:v>0.018880600520180226</x:v>
      </x:c>
      <x:c r="O11" s="26" t="n">
        <x:v>0.02250471724015535</x:v>
      </x:c>
      <x:c r="P11" s="26" t="n">
        <x:v>0.004419738036546269</x:v>
      </x:c>
      <x:c r="Q11" s="26" t="n">
        <x:v>0.015124747534018972</x:v>
      </x:c>
      <x:c r="R11" s="26" t="n">
        <x:v>0.06002120652617628</x:v>
      </x:c>
      <x:c r="S11" s="26" t="n">
        <x:v>0.04772276335579103</x:v>
      </x:c>
      <x:c r="T11" s="26" t="n">
        <x:v>0.0025980254075710554</x:v>
      </x:c>
      <x:c r="U11" s="26" t="n">
        <x:v>0.0050654100688411</x:v>
      </x:c>
      <x:c r="V11" s="26" t="n">
        <x:v>0.002729898613742831</x:v>
      </x:c>
      <x:c r="W11" s="26" t="n">
        <x:v>0.04909449119195165</x:v>
      </x:c>
      <x:c r="X11" s="26" t="n">
        <x:v>0.0035377075890359816</x:v>
      </x:c>
      <x:c r="Y11" s="26" t="n">
        <x:v>0.009388742355496476</x:v>
      </x:c>
      <x:c r="Z11" s="26" t="n">
        <x:v>0.038609133431446264</x:v>
      </x:c>
      <x:c r="AA11" s="26" t="n">
        <x:v>0.0019127777194261283</x:v>
      </x:c>
      <x:c r="AB11" s="26" t="n">
        <x:v>0.0024513626829501087</x:v>
      </x:c>
      <x:c r="AC11" s="26" t="n">
        <x:v>0.00033714624464684475</x:v>
      </x:c>
      <x:c r="AD11" s="26" t="n">
        <x:v>0.0006729230894372848</x:v>
      </x:c>
      <x:c r="AE11" s="26" t="n">
        <x:v>0.033800759715652336</x:v>
      </x:c>
      <x:c r="AF11" s="26" t="n">
        <x:v>0.004871366109188549</x:v>
      </x:c>
      <x:c r="AG11" s="26" t="n">
        <x:v>0.00461118013647165</x:v>
      </x:c>
      <x:c r="AH11" s="26" t="n">
        <x:v>0.0019430414562526727</x:v>
      </x:c>
      <x:c r="AI11" s="26" t="n">
        <x:v>0.04729907104021941</x:v>
      </x:c>
      <x:c r="AJ11" s="26" t="n">
        <x:v>0.013495024764911701</x:v>
      </x:c>
      <x:c r="AK11" s="26" t="n">
        <x:f>SUM(B11:AJ11)</x:f>
        <x:v>1</x:v>
      </x:c>
    </x:row>
    <x:row r="12">
      <x:c r="A12" t="str">
        <x:v>IT</x:v>
      </x:c>
      <x:c r="B12" s="26" t="n">
        <x:v>0.03258814857241524</x:v>
      </x:c>
      <x:c r="C12" s="26" t="n">
        <x:v>0.046026743783692446</x:v>
      </x:c>
      <x:c r="D12" s="26" t="n">
        <x:v>0.2041095665120569</x:v>
      </x:c>
      <x:c r="E12" s="26" t="n">
        <x:v>0.07276788501120021</x:v>
      </x:c>
      <x:c r="F12" s="26" t="n">
        <x:v>0.0068877610373149645</x:v>
      </x:c>
      <x:c r="G12" s="26" t="n">
        <x:v>0.14500615713206386</x:v>
      </x:c>
      <x:c r="H12" s="26" t="n">
        <x:v>0.016206325575362453</x:v>
      </x:c>
      <x:c r="I12" s="26" t="n">
        <x:v>0</x:v>
      </x:c>
      <x:c r="J12" s="26" t="n">
        <x:v>0.05481751999053042</x:v>
      </x:c>
      <x:c r="K12" s="26" t="n">
        <x:v>0.01024581806958549</x:v>
      </x:c>
      <x:c r="L12" s="26" t="n">
        <x:v>0.007752149069550973</x:v>
      </x:c>
      <x:c r="M12" s="26" t="n">
        <x:v>0.00837663903449465</x:v>
      </x:c>
      <x:c r="N12" s="26" t="n">
        <x:v>0.04906337641360707</x:v>
      </x:c>
      <x:c r="O12" s="26" t="n">
        <x:v>0.01976527285910542</x:v>
      </x:c>
      <x:c r="P12" s="26" t="n">
        <x:v>0.006353014215089826</x:v>
      </x:c>
      <x:c r="Q12" s="26" t="n">
        <x:v>0.014555690974194152</x:v>
      </x:c>
      <x:c r="R12" s="26" t="n">
        <x:v>0.06455769610175896</x:v>
      </x:c>
      <x:c r="S12" s="26" t="n">
        <x:v>0.07210399715227844</x:v>
      </x:c>
      <x:c r="T12" s="26" t="n">
        <x:v>0.004077763817313916</x:v>
      </x:c>
      <x:c r="U12" s="26" t="n">
        <x:v>0.012465174042241412</x:v>
      </x:c>
      <x:c r="V12" s="26" t="n">
        <x:v>0.0044635385326062494</x:v>
      </x:c>
      <x:c r="W12" s="26" t="n">
        <x:v>0.04917512751434786</x:v>
      </x:c>
      <x:c r="X12" s="26" t="n">
        <x:v>0.004439643099624968</x:v>
      </x:c>
      <x:c r="Y12" s="26" t="n">
        <x:v>0.010632737853019632</x:v>
      </x:c>
      <x:c r="Z12" s="26" t="n">
        <x:v>0.010993044239531496</x:v>
      </x:c>
      <x:c r="AA12" s="26" t="n">
        <x:v>0.00608212380897027</x:v>
      </x:c>
      <x:c r="AB12" s="26" t="n">
        <x:v>0.0032815136310987824</x:v>
      </x:c>
      <x:c r="AC12" s="26" t="n">
        <x:v>0.0015338250675373144</x:v>
      </x:c>
      <x:c r="AD12" s="26" t="n">
        <x:v>0.0010091573615933803</x:v>
      </x:c>
      <x:c r="AE12" s="26" t="n">
        <x:v>0.012776393496652178</x:v>
      </x:c>
      <x:c r="AF12" s="26" t="n">
        <x:v>0.003979187291787132</x:v>
      </x:c>
      <x:c r="AG12" s="26" t="n">
        <x:v>0.00424066548944434</x:v>
      </x:c>
      <x:c r="AH12" s="26" t="n">
        <x:v>0.007294474141486105</x:v>
      </x:c>
      <x:c r="AI12" s="26" t="n">
        <x:v>0.022984952810546473</x:v>
      </x:c>
      <x:c r="AJ12" s="26" t="n">
        <x:v>0.009386916297897053</x:v>
      </x:c>
      <x:c r="AK12" s="26" t="n">
        <x:f>SUM(B12:AJ12)</x:f>
        <x:v>1.0000000000000002</x:v>
      </x:c>
    </x:row>
    <x:row r="13">
      <x:c r="A13" t="str">
        <x:v>NL</x:v>
      </x:c>
      <x:c r="B13" s="26" t="n">
        <x:v>0.01182934726615808</x:v>
      </x:c>
      <x:c r="C13" s="26" t="n">
        <x:v>0.1336773624716826</x:v>
      </x:c>
      <x:c r="D13" s="26" t="n">
        <x:v>0.25433046928111425</x:v>
      </x:c>
      <x:c r="E13" s="26" t="n">
        <x:v>0.03178862256172228</x:v>
      </x:c>
      <x:c r="F13" s="26" t="n">
        <x:v>0.011418287897503465</x:v>
      </x:c>
      <x:c r="G13" s="26" t="n">
        <x:v>0.0844219128592429</x:v>
      </x:c>
      <x:c r="H13" s="26" t="n">
        <x:v>0.005084483523116605</x:v>
      </x:c>
      <x:c r="I13" s="26" t="n">
        <x:v>0.04542174114772073</x:v>
      </x:c>
      <x:c r="J13" s="26" t="n">
        <x:v>0</x:v>
      </x:c>
      <x:c r="K13" s="26" t="n">
        <x:v>0.0070865919560605985</x:v>
      </x:c>
      <x:c r="L13" s="26" t="n">
        <x:v>0.004118094884462355</x:v>
      </x:c>
      <x:c r="M13" s="26" t="n">
        <x:v>0.005793603043280981</x:v>
      </x:c>
      <x:c r="N13" s="26" t="n">
        <x:v>0.012639780036839146</x:v>
      </x:c>
      <x:c r="O13" s="26" t="n">
        <x:v>0.022780311579674552</x:v>
      </x:c>
      <x:c r="P13" s="26" t="n">
        <x:v>0.01950739350812436</x:v>
      </x:c>
      <x:c r="Q13" s="26" t="n">
        <x:v>0.021178089182924225</x:v>
      </x:c>
      <x:c r="R13" s="26" t="n">
        <x:v>0.0927627009221232</x:v>
      </x:c>
      <x:c r="S13" s="26" t="n">
        <x:v>0.06809452509534134</x:v>
      </x:c>
      <x:c r="T13" s="26" t="n">
        <x:v>0.0029832379193861433</x:v>
      </x:c>
      <x:c r="U13" s="26" t="n">
        <x:v>0.011591798870223345</x:v>
      </x:c>
      <x:c r="V13" s="26" t="n">
        <x:v>0.0033576387141239393</x:v>
      </x:c>
      <x:c r="W13" s="26" t="n">
        <x:v>0.059917895047109676</x:v>
      </x:c>
      <x:c r="X13" s="26" t="n">
        <x:v>0.004437005646079484</x:v>
      </x:c>
      <x:c r="Y13" s="26" t="n">
        <x:v>0.006064504045850083</x:v>
      </x:c>
      <x:c r="Z13" s="26" t="n">
        <x:v>0.008538382379537537</x:v>
      </x:c>
      <x:c r="AA13" s="26" t="n">
        <x:v>0.004135545369991252</x:v>
      </x:c>
      <x:c r="AB13" s="26" t="n">
        <x:v>0.010324912452284615</x:v>
      </x:c>
      <x:c r="AC13" s="26" t="n">
        <x:v>0.0007969159677414175</x:v>
      </x:c>
      <x:c r="AD13" s="26" t="n">
        <x:v>0.0036794997376830047</x:v>
      </x:c>
      <x:c r="AE13" s="26" t="n">
        <x:v>0.008812390572875273</x:v>
      </x:c>
      <x:c r="AF13" s="26" t="n">
        <x:v>0.009373316971027163</x:v>
      </x:c>
      <x:c r="AG13" s="26" t="n">
        <x:v>0.0057081814519479804</x:v>
      </x:c>
      <x:c r="AH13" s="26" t="n">
        <x:v>0.005666124526392724</x:v>
      </x:c>
      <x:c r="AI13" s="26" t="n">
        <x:v>0.009182847223102041</x:v>
      </x:c>
      <x:c r="AJ13" s="26" t="n">
        <x:v>0.013496485887552777</x:v>
      </x:c>
      <x:c r="AK13" s="26" t="n">
        <x:f>SUM(B13:AJ13)</x:f>
        <x:v>1.0000000000000002</x:v>
      </x:c>
    </x:row>
    <x:row r="14">
      <x:c r="A14" t="str">
        <x:v>PT</x:v>
      </x:c>
      <x:c r="B14" s="26" t="n">
        <x:v>0.007334542300209226</x:v>
      </x:c>
      <x:c r="C14" s="26" t="n">
        <x:v>0.03562694575241267</x:v>
      </x:c>
      <x:c r="D14" s="26" t="n">
        <x:v>0.16028346391975212</x:v>
      </x:c>
      <x:c r="E14" s="26" t="n">
        <x:v>0.32891194189867967</x:v>
      </x:c>
      <x:c r="F14" s="26" t="n">
        <x:v>0.006030518019878252</x:v>
      </x:c>
      <x:c r="G14" s="26" t="n">
        <x:v>0.11775976638279717</x:v>
      </x:c>
      <x:c r="H14" s="26" t="n">
        <x:v>0.003068965503348296</x:v>
      </x:c>
      <x:c r="I14" s="26" t="n">
        <x:v>0.060177219341267504</x:v>
      </x:c>
      <x:c r="J14" s="26" t="n">
        <x:v>0.05131915315375569</x:v>
      </x:c>
      <x:c r="K14" s="26" t="n">
        <x:v>0</x:v>
      </x:c>
      <x:c r="L14" s="26" t="n">
        <x:v>0.0014635724527993252</x:v>
      </x:c>
      <x:c r="M14" s="26" t="n">
        <x:v>0.004071056954265678</x:v>
      </x:c>
      <x:c r="N14" s="26" t="n">
        <x:v>0.008964753955364385</x:v>
      </x:c>
      <x:c r="O14" s="26" t="n">
        <x:v>0.009750488414828472</x:v>
      </x:c>
      <x:c r="P14" s="26" t="n">
        <x:v>0.009585380230289254</x:v>
      </x:c>
      <x:c r="Q14" s="26" t="n">
        <x:v>0.013268847937295956</x:v>
      </x:c>
      <x:c r="R14" s="26" t="n">
        <x:v>0.06209147509134738</x:v>
      </x:c>
      <x:c r="S14" s="26" t="n">
        <x:v>0.03409367169901479</x:v>
      </x:c>
      <x:c r="T14" s="26" t="n">
        <x:v>0.002790159100954106</x:v>
      </x:c>
      <x:c r="U14" s="26" t="n">
        <x:v>0.017575439895665165</x:v>
      </x:c>
      <x:c r="V14" s="26" t="n">
        <x:v>0.0013487461165531632</x:v>
      </x:c>
      <x:c r="W14" s="26" t="n">
        <x:v>0.01489833437348535</x:v>
      </x:c>
      <x:c r="X14" s="26" t="n">
        <x:v>0.0011804953164956291</x:v>
      </x:c>
      <x:c r="Y14" s="26" t="n">
        <x:v>0.004377502257244031</x:v>
      </x:c>
      <x:c r="Z14" s="26" t="n">
        <x:v>0.004413279726221782</x:v>
      </x:c>
      <x:c r="AA14" s="26" t="n">
        <x:v>0.004613843060198412</x:v>
      </x:c>
      <x:c r="AB14" s="26" t="n">
        <x:v>0.0025778311037550627</x:v>
      </x:c>
      <x:c r="AC14" s="26" t="n">
        <x:v>0.0003232059190760389</x:v>
      </x:c>
      <x:c r="AD14" s="26" t="n">
        <x:v>0.00031361691275092076</x:v>
      </x:c>
      <x:c r="AE14" s="26" t="n">
        <x:v>0.007779101526223314</x:v>
      </x:c>
      <x:c r="AF14" s="26" t="n">
        <x:v>0.004390797938283061</x:v>
      </x:c>
      <x:c r="AG14" s="26" t="n">
        <x:v>0.001758897731635945</x:v>
      </x:c>
      <x:c r="AH14" s="26" t="n">
        <x:v>0.0033501087224099514</x:v>
      </x:c>
      <x:c r="AI14" s="26" t="n">
        <x:v>0.00672277981264371</x:v>
      </x:c>
      <x:c r="AJ14" s="26" t="n">
        <x:v>0.007784097479098586</x:v>
      </x:c>
      <x:c r="AK14" s="26" t="n">
        <x:f>SUM(B14:AJ14)</x:f>
        <x:v>1</x:v>
      </x:c>
    </x:row>
    <x:row r="15">
      <x:c r="A15" t="str">
        <x:v>AU</x:v>
      </x:c>
      <x:c r="B15" s="26" t="n">
        <x:v>0.0033321647460475942</x:v>
      </x:c>
      <x:c r="C15" s="26" t="n">
        <x:v>0.007128558263735992</x:v>
      </x:c>
      <x:c r="D15" s="26" t="n">
        <x:v>0.038811380734952765</x:v>
      </x:c>
      <x:c r="E15" s="26" t="n">
        <x:v>0.008152548515738493</x:v>
      </x:c>
      <x:c r="F15" s="26" t="n">
        <x:v>0.004783895797798801</x:v>
      </x:c>
      <x:c r="G15" s="26" t="n">
        <x:v>0.018084413123395524</x:v>
      </x:c>
      <x:c r="H15" s="26" t="n">
        <x:v>0.0008145877670537133</x:v>
      </x:c>
      <x:c r="I15" s="26" t="n">
        <x:v>0.021149775088575636</x:v>
      </x:c>
      <x:c r="J15" s="26" t="n">
        <x:v>0.012767687443536336</x:v>
      </x:c>
      <x:c r="K15" s="26" t="n">
        <x:v>0.0007066441835395872</x:v>
      </x:c>
      <x:c r="L15" s="26" t="n">
        <x:v>0</x:v>
      </x:c>
      <x:c r="M15" s="26" t="n">
        <x:v>0.012365637154609619</x:v>
      </x:c>
      <x:c r="N15" s="26" t="n">
        <x:v>0.00869977501255903</x:v>
      </x:c>
      <x:c r="O15" s="26" t="n">
        <x:v>0.1747309066370535</x:v>
      </x:c>
      <x:c r="P15" s="26" t="n">
        <x:v>0.0015462708904886437</x:v>
      </x:c>
      <x:c r="Q15" s="26" t="n">
        <x:v>0.008906726349736155</x:v>
      </x:c>
      <x:c r="R15" s="26" t="n">
        <x:v>0.04613959894692487</x:v>
      </x:c>
      <x:c r="S15" s="26" t="n">
        <x:v>0.11984337848337186</x:v>
      </x:c>
      <x:c r="T15" s="26" t="n">
        <x:v>0.0016885615699930366</x:v>
      </x:c>
      <x:c r="U15" s="26" t="n">
        <x:v>0.005619644106374973</x:v>
      </x:c>
      <x:c r="V15" s="26" t="n">
        <x:v>0.0025186008761643223</x:v>
      </x:c>
      <x:c r="W15" s="26" t="n">
        <x:v>0.20364138789695832</x:v>
      </x:c>
      <x:c r="X15" s="26" t="n">
        <x:v>0.029423391687922098</x:v>
      </x:c>
      <x:c r="Y15" s="26" t="n">
        <x:v>0.03563655485409636</x:v>
      </x:c>
      <x:c r="Z15" s="26" t="n">
        <x:v>0.06925134717718841</x:v>
      </x:c>
      <x:c r="AA15" s="26" t="n">
        <x:v>0.006220237364806402</x:v>
      </x:c>
      <x:c r="AB15" s="26" t="n">
        <x:v>0.03533161966042667</x:v>
      </x:c>
      <x:c r="AC15" s="26" t="n">
        <x:v>0.0006187131356295458</x:v>
      </x:c>
      <x:c r="AD15" s="26" t="n">
        <x:v>0.006362652153058727</x:v>
      </x:c>
      <x:c r="AE15" s="26" t="n">
        <x:v>0.009257705888888726</x:v>
      </x:c>
      <x:c r="AF15" s="26" t="n">
        <x:v>0.05149225410931046</x:v>
      </x:c>
      <x:c r="AG15" s="26" t="n">
        <x:v>0.0385991858031755</x:v>
      </x:c>
      <x:c r="AH15" s="26" t="n">
        <x:v>0.009708220643883011</x:v>
      </x:c>
      <x:c r="AI15" s="26" t="n">
        <x:v>0.0028126455272029466</x:v>
      </x:c>
      <x:c r="AJ15" s="26" t="n">
        <x:v>0.0038533284058023445</x:v>
      </x:c>
      <x:c r="AK15" s="26" t="n">
        <x:f>SUM(B15:AJ15)</x:f>
        <x:v>0.9999999999999999</x:v>
      </x:c>
    </x:row>
    <x:row r="16">
      <x:c r="A16" t="str">
        <x:v>CA</x:v>
      </x:c>
      <x:c r="B16" s="26" t="n">
        <x:v>0.0020961728924674</x:v>
      </x:c>
      <x:c r="C16" s="26" t="n">
        <x:v>0.004979807639749235</x:v>
      </x:c>
      <x:c r="D16" s="26" t="n">
        <x:v>0.019005323403789843</x:v>
      </x:c>
      <x:c r="E16" s="26" t="n">
        <x:v>0.0031000448767529772</x:v>
      </x:c>
      <x:c r="F16" s="26" t="n">
        <x:v>0.0019528979927374995</x:v>
      </x:c>
      <x:c r="G16" s="26" t="n">
        <x:v>0.010587462817750732</x:v>
      </x:c>
      <x:c r="H16" s="26" t="n">
        <x:v>0.00038361682838804174</x:v>
      </x:c>
      <x:c r="I16" s="26" t="n">
        <x:v>0.008747927698995524</x:v>
      </x:c>
      <x:c r="J16" s="26" t="n">
        <x:v>0.006235263071473554</x:v>
      </x:c>
      <x:c r="K16" s="26" t="n">
        <x:v>0.000649764142696615</x:v>
      </x:c>
      <x:c r="L16" s="26" t="n">
        <x:v>0.004369748279955036</x:v>
      </x:c>
      <x:c r="M16" s="26" t="n">
        <x:v>0</x:v>
      </x:c>
      <x:c r="N16" s="26" t="n">
        <x:v>0.0044417506434625735</x:v>
      </x:c>
      <x:c r="O16" s="26" t="n">
        <x:v>0.0316008025137256</x:v>
      </x:c>
      <x:c r="P16" s="26" t="n">
        <x:v>0.008433764285089186</x:v>
      </x:c>
      <x:c r="Q16" s="26" t="n">
        <x:v>0.0033662902275625435</x:v>
      </x:c>
      <x:c r="R16" s="26" t="n">
        <x:v>0.028120909767400556</x:v>
      </x:c>
      <x:c r="S16" s="26" t="n">
        <x:v>0.7242402939125585</x:v>
      </x:c>
      <x:c r="T16" s="26" t="n">
        <x:v>0.0014848499511048397</x:v>
      </x:c>
      <x:c r="U16" s="26" t="n">
        <x:v>0.0059042264864517585</x:v>
      </x:c>
      <x:c r="V16" s="26" t="n">
        <x:v>0.0026510485951467444</x:v>
      </x:c>
      <x:c r="W16" s="26" t="n">
        <x:v>0.05637290522957414</x:v>
      </x:c>
      <x:c r="X16" s="26" t="n">
        <x:v>0.0026718214404128373</x:v>
      </x:c>
      <x:c r="Y16" s="26" t="n">
        <x:v>0.0045208116350416525</x:v>
      </x:c>
      <x:c r="Z16" s="26" t="n">
        <x:v>0.011607794041258683</x:v>
      </x:c>
      <x:c r="AA16" s="26" t="n">
        <x:v>0.028312429518563872</x:v>
      </x:c>
      <x:c r="AB16" s="26" t="n">
        <x:v>0.0041159644577162145</x:v>
      </x:c>
      <x:c r="AC16" s="26" t="n">
        <x:v>0.003118519310717997</x:v>
      </x:c>
      <x:c r="AD16" s="26" t="n">
        <x:v>0.0018887276563648967</x:v>
      </x:c>
      <x:c r="AE16" s="26" t="n">
        <x:v>0.003187547900362062</x:v>
      </x:c>
      <x:c r="AF16" s="26" t="n">
        <x:v>0.002558676425321643</x:v>
      </x:c>
      <x:c r="AG16" s="26" t="n">
        <x:v>0.0037164875020563154</x:v>
      </x:c>
      <x:c r="AH16" s="26" t="n">
        <x:v>0.0016067964653963501</x:v>
      </x:c>
      <x:c r="AI16" s="26" t="n">
        <x:v>0.001742609698106181</x:v>
      </x:c>
      <x:c r="AJ16" s="26" t="n">
        <x:v>0.002226942691848337</x:v>
      </x:c>
      <x:c r="AK16" s="26" t="n">
        <x:f>SUM(B16:AJ16)</x:f>
        <x:v>0.9999999999999999</x:v>
      </x:c>
    </x:row>
    <x:row r="17">
      <x:c r="A17" t="str">
        <x:v>CH</x:v>
      </x:c>
      <x:c r="B17" s="26" t="n">
        <x:v>0.04187587976052324</x:v>
      </x:c>
      <x:c r="C17" s="26" t="n">
        <x:v>0.02850628665074025</x:v>
      </x:c>
      <x:c r="D17" s="26" t="n">
        <x:v>0.29771110823437896</x:v>
      </x:c>
      <x:c r="E17" s="26" t="n">
        <x:v>0.03289744365455973</x:v>
      </x:c>
      <x:c r="F17" s="26" t="n">
        <x:v>0.006071572821521474</x:v>
      </x:c>
      <x:c r="G17" s="26" t="n">
        <x:v>0.10330766114787385</x:v>
      </x:c>
      <x:c r="H17" s="26" t="n">
        <x:v>0.004662601997178173</x:v>
      </x:c>
      <x:c r="I17" s="26" t="n">
        <x:v>0.10801370847255118</x:v>
      </x:c>
      <x:c r="J17" s="26" t="n">
        <x:v>0.04314182833126321</x:v>
      </x:c>
      <x:c r="K17" s="26" t="n">
        <x:v>0.004921861105994414</x:v>
      </x:c>
      <x:c r="L17" s="26" t="n">
        <x:v>0.006706946018945107</x:v>
      </x:c>
      <x:c r="M17" s="26" t="n">
        <x:v>0.010291244406634845</x:v>
      </x:c>
      <x:c r="N17" s="26" t="n">
        <x:v>0</x:v>
      </x:c>
      <x:c r="O17" s="26" t="n">
        <x:v>0.03308841471473228</x:v>
      </x:c>
      <x:c r="P17" s="26" t="n">
        <x:v>0.003490873272864266</x:v>
      </x:c>
      <x:c r="Q17" s="26" t="n">
        <x:v>0.010959024992660509</x:v>
      </x:c>
      <x:c r="R17" s="26" t="n">
        <x:v>0.05447140429132694</x:v>
      </x:c>
      <x:c r="S17" s="26" t="n">
        <x:v>0.09717810235401267</x:v>
      </x:c>
      <x:c r="T17" s="26" t="n">
        <x:v>0.0015042797474072178</x:v>
      </x:c>
      <x:c r="U17" s="26" t="n">
        <x:v>0.008442757572658928</x:v>
      </x:c>
      <x:c r="V17" s="26" t="n">
        <x:v>0.0008825935942160494</x:v>
      </x:c>
      <x:c r="W17" s="26" t="n">
        <x:v>0.03166098845655294</x:v>
      </x:c>
      <x:c r="X17" s="26" t="n">
        <x:v>0.0017895589575170042</x:v>
      </x:c>
      <x:c r="Y17" s="26" t="n">
        <x:v>0.00889493041889361</x:v>
      </x:c>
      <x:c r="Z17" s="26" t="n">
        <x:v>0.007694650225965742</x:v>
      </x:c>
      <x:c r="AA17" s="26" t="n">
        <x:v>0.005055258276879428</x:v>
      </x:c>
      <x:c r="AB17" s="26" t="n">
        <x:v>0.0029853062368711074</x:v>
      </x:c>
      <x:c r="AC17" s="26" t="n">
        <x:v>0.00045023016898878415</x:v>
      </x:c>
      <x:c r="AD17" s="26" t="n">
        <x:v>0.0012075799498518474</x:v>
      </x:c>
      <x:c r="AE17" s="26" t="n">
        <x:v>0.005443675988044176</x:v>
      </x:c>
      <x:c r="AF17" s="26" t="n">
        <x:v>0.009037157940896342</x:v>
      </x:c>
      <x:c r="AG17" s="26" t="n">
        <x:v>0.0059859478501833215</x:v>
      </x:c>
      <x:c r="AH17" s="26" t="n">
        <x:v>0.005514789749045543</x:v>
      </x:c>
      <x:c r="AI17" s="26" t="n">
        <x:v>0.00884651066026478</x:v>
      </x:c>
      <x:c r="AJ17" s="26" t="n">
        <x:v>0.0073078219780021835</x:v>
      </x:c>
      <x:c r="AK17" s="26" t="n">
        <x:f>SUM(B17:AJ17)</x:f>
        <x:v>1.0000000000000002</x:v>
      </x:c>
    </x:row>
    <x:row r="18">
      <x:c r="A18" t="str">
        <x:v>JP</x:v>
      </x:c>
      <x:c r="B18" s="26" t="n">
        <x:v>0.002647860796768245</x:v>
      </x:c>
      <x:c r="C18" s="26" t="n">
        <x:v>0.009284923415047023</x:v>
      </x:c>
      <x:c r="D18" s="26" t="n">
        <x:v>0.040655504363566033</x:v>
      </x:c>
      <x:c r="E18" s="26" t="n">
        <x:v>0.006481320117534754</x:v>
      </x:c>
      <x:c r="F18" s="26" t="n">
        <x:v>0.003070068485953743</x:v>
      </x:c>
      <x:c r="G18" s="26" t="n">
        <x:v>0.017974938753634102</x:v>
      </x:c>
      <x:c r="H18" s="26" t="n">
        <x:v>0.0010938273666341058</x:v>
      </x:c>
      <x:c r="I18" s="26" t="n">
        <x:v>0.013656340907625644</x:v>
      </x:c>
      <x:c r="J18" s="26" t="n">
        <x:v>0.019273078867444792</x:v>
      </x:c>
      <x:c r="K18" s="26" t="n">
        <x:v>0.0010010236447505298</x:v>
      </x:c>
      <x:c r="L18" s="26" t="n">
        <x:v>0.0468813600761931</x:v>
      </x:c>
      <x:c r="M18" s="26" t="n">
        <x:v>0.020181139934231835</x:v>
      </x:c>
      <x:c r="N18" s="26" t="n">
        <x:v>0.009884652773532239</x:v>
      </x:c>
      <x:c r="O18" s="26" t="n">
        <x:v>0</x:v>
      </x:c>
      <x:c r="P18" s="26" t="n">
        <x:v>0.0029363434378852833</x:v>
      </x:c>
      <x:c r="Q18" s="26" t="n">
        <x:v>0.004469876490907003</x:v>
      </x:c>
      <x:c r="R18" s="26" t="n">
        <x:v>0.023186101255834358</x:v>
      </x:c>
      <x:c r="S18" s="26" t="n">
        <x:v>0.2201948603338537</x:v>
      </x:c>
      <x:c r="T18" s="26" t="n">
        <x:v>0.0014655744220361088</x:v>
      </x:c>
      <x:c r="U18" s="26" t="n">
        <x:v>0.010667074566718256</x:v>
      </x:c>
      <x:c r="V18" s="26" t="n">
        <x:v>0.007510254775525518</x:v>
      </x:c>
      <x:c r="W18" s="26" t="n">
        <x:v>0.21944092937859958</x:v>
      </x:c>
      <x:c r="X18" s="26" t="n">
        <x:v>0.03624666037856056</x:v>
      </x:c>
      <x:c r="Y18" s="26" t="n">
        <x:v>0.010103548508844587</x:v>
      </x:c>
      <x:c r="Z18" s="26" t="n">
        <x:v>0.07810133751815318</x:v>
      </x:c>
      <x:c r="AA18" s="26" t="n">
        <x:v>0.011011140950195895</x:v>
      </x:c>
      <x:c r="AB18" s="26" t="n">
        <x:v>0.03533970336152888</x:v>
      </x:c>
      <x:c r="AC18" s="26" t="n">
        <x:v>0.0020074881102379863</x:v>
      </x:c>
      <x:c r="AD18" s="26" t="n">
        <x:v>0.01909041026115598</x:v>
      </x:c>
      <x:c r="AE18" s="26" t="n">
        <x:v>0.03758278298107779</x:v>
      </x:c>
      <x:c r="AF18" s="26" t="n">
        <x:v>0.029913846867329907</x:v>
      </x:c>
      <x:c r="AG18" s="26" t="n">
        <x:v>0.04351618465059006</x:v>
      </x:c>
      <x:c r="AH18" s="26" t="n">
        <x:v>0.009391007505211097</x:v>
      </x:c>
      <x:c r="AI18" s="26" t="n">
        <x:v>0.002499028535500319</x:v>
      </x:c>
      <x:c r="AJ18" s="26" t="n">
        <x:v>0.0032398062073378596</x:v>
      </x:c>
      <x:c r="AK18" s="26" t="n">
        <x:f>SUM(B18:AJ18)</x:f>
        <x:v>1</x:v>
      </x:c>
    </x:row>
    <x:row r="19">
      <x:c r="A19" t="str">
        <x:v>NO</x:v>
      </x:c>
      <x:c r="B19" s="26" t="n">
        <x:v>0.006464987204344758</x:v>
      </x:c>
      <x:c r="C19" s="26" t="n">
        <x:v>0.02722705171558974</x:v>
      </x:c>
      <x:c r="D19" s="26" t="n">
        <x:v>0.13767148261786555</x:v>
      </x:c>
      <x:c r="E19" s="26" t="n">
        <x:v>0.02144474470089106</x:v>
      </x:c>
      <x:c r="F19" s="26" t="n">
        <x:v>0.023572844333476103</x:v>
      </x:c>
      <x:c r="G19" s="26" t="n">
        <x:v>0.07515159793583145</x:v>
      </x:c>
      <x:c r="H19" s="26" t="n">
        <x:v>0.002068805586050981</x:v>
      </x:c>
      <x:c r="I19" s="26" t="n">
        <x:v>0.03193630589958337</x:v>
      </x:c>
      <x:c r="J19" s="26" t="n">
        <x:v>0.09341953703498886</x:v>
      </x:c>
      <x:c r="K19" s="26" t="n">
        <x:v>0.006031680833264802</x:v>
      </x:c>
      <x:c r="L19" s="26" t="n">
        <x:v>0.0020506543473160633</x:v>
      </x:c>
      <x:c r="M19" s="26" t="n">
        <x:v>0.030982857631315617</x:v>
      </x:c>
      <x:c r="N19" s="26" t="n">
        <x:v>0.0083646716486896</x:v>
      </x:c>
      <x:c r="O19" s="26" t="n">
        <x:v>0.01913426142149756</x:v>
      </x:c>
      <x:c r="P19" s="26" t="n">
        <x:v>0</x:v>
      </x:c>
      <x:c r="Q19" s="26" t="n">
        <x:v>0.10354846068540917</x:v>
      </x:c>
      <x:c r="R19" s="26" t="n">
        <x:v>0.20367838967243887</x:v>
      </x:c>
      <x:c r="S19" s="26" t="n">
        <x:v>0.06595516392335297</x:v>
      </x:c>
      <x:c r="T19" s="26" t="n">
        <x:v>0.0004992800734684699</x:v>
      </x:c>
      <x:c r="U19" s="26" t="n">
        <x:v>0.007662823750939447</x:v>
      </x:c>
      <x:c r="V19" s="26" t="n">
        <x:v>0.0010801197129858366</x:v>
      </x:c>
      <x:c r="W19" s="26" t="n">
        <x:v>0.03585474691437412</x:v>
      </x:c>
      <x:c r="X19" s="26" t="n">
        <x:v>0.0012861725751046225</x:v>
      </x:c>
      <x:c r="Y19" s="26" t="n">
        <x:v>0.0036303929568934214</x:v>
      </x:c>
      <x:c r="Z19" s="26" t="n">
        <x:v>0.01484248572840703</x:v>
      </x:c>
      <x:c r="AA19" s="26" t="n">
        <x:v>0.001294449539967745</x:v>
      </x:c>
      <x:c r="AB19" s="26" t="n">
        <x:v>0.002248091421448675</x:v>
      </x:c>
      <x:c r="AC19" s="26" t="n">
        <x:v>0.0011127435394053954</x:v>
      </x:c>
      <x:c r="AD19" s="26" t="n">
        <x:v>0.0006142379187896154</x:v>
      </x:c>
      <x:c r="AE19" s="26" t="n">
        <x:v>0.0007483150689115408</x:v>
      </x:c>
      <x:c r="AF19" s="26" t="n">
        <x:v>0.006453322008251117</x:v>
      </x:c>
      <x:c r="AG19" s="26" t="n">
        <x:v>0.002782463889804652</x:v>
      </x:c>
      <x:c r="AH19" s="26" t="n">
        <x:v>0.002007962633811537</x:v>
      </x:c>
      <x:c r="AI19" s="26" t="n">
        <x:v>0.005826741247121758</x:v>
      </x:c>
      <x:c r="AJ19" s="26" t="n">
        <x:v>0.05335215382840845</x:v>
      </x:c>
      <x:c r="AK19" s="26" t="n">
        <x:f>SUM(B19:AJ19)</x:f>
        <x:v>0.9999999999999996</x:v>
      </x:c>
    </x:row>
    <x:row r="20">
      <x:c r="A20" t="str">
        <x:v>SE</x:v>
      </x:c>
      <x:c r="B20" s="26" t="n">
        <x:v>0.012247132956599596</x:v>
      </x:c>
      <x:c r="C20" s="26" t="n">
        <x:v>0.049541035879427736</x:v>
      </x:c>
      <x:c r="D20" s="26" t="n">
        <x:v>0.1646697186135158</x:v>
      </x:c>
      <x:c r="E20" s="26" t="n">
        <x:v>0.023870402067958516</x:v>
      </x:c>
      <x:c r="F20" s="26" t="n">
        <x:v>0.06939670845891394</x:v>
      </x:c>
      <x:c r="G20" s="26" t="n">
        <x:v>0.0589268135350014</x:v>
      </x:c>
      <x:c r="H20" s="26" t="n">
        <x:v>0.0037707272617710217</x:v>
      </x:c>
      <x:c r="I20" s="26" t="n">
        <x:v>0.03795482559735731</x:v>
      </x:c>
      <x:c r="J20" s="26" t="n">
        <x:v>0.06669051761428564</x:v>
      </x:c>
      <x:c r="K20" s="26" t="n">
        <x:v>0.005590919063103154</x:v>
      </x:c>
      <x:c r="L20" s="26" t="n">
        <x:v>0.008586823769443475</x:v>
      </x:c>
      <x:c r="M20" s="26" t="n">
        <x:v>0.007950928732182632</x:v>
      </x:c>
      <x:c r="N20" s="26" t="n">
        <x:v>0.01217384265793232</x:v>
      </x:c>
      <x:c r="O20" s="26" t="n">
        <x:v>0.020425103037334753</x:v>
      </x:c>
      <x:c r="P20" s="26" t="n">
        <x:v>0.1028524542873308</x:v>
      </x:c>
      <x:c r="Q20" s="26" t="n">
        <x:v>0</x:v>
      </x:c>
      <x:c r="R20" s="26" t="n">
        <x:v>0.0873870291753304</x:v>
      </x:c>
      <x:c r="S20" s="26" t="n">
        <x:v>0.0720981075107319</x:v>
      </x:c>
      <x:c r="T20" s="26" t="n">
        <x:v>0.001208876248055187</x:v>
      </x:c>
      <x:c r="U20" s="26" t="n">
        <x:v>0.007185551869054299</x:v>
      </x:c>
      <x:c r="V20" s="26" t="n">
        <x:v>0.0026525848171458756</x:v>
      </x:c>
      <x:c r="W20" s="26" t="n">
        <x:v>0.035806930325126246</x:v>
      </x:c>
      <x:c r="X20" s="26" t="n">
        <x:v>0.0028570116615000336</x:v>
      </x:c>
      <x:c r="Y20" s="26" t="n">
        <x:v>0.00788935936556939</x:v>
      </x:c>
      <x:c r="Z20" s="26" t="n">
        <x:v>0.008226474055441111</x:v>
      </x:c>
      <x:c r="AA20" s="26" t="n">
        <x:v>0.004011626888810964</x:v>
      </x:c>
      <x:c r="AB20" s="26" t="n">
        <x:v>0.003936716343653867</x:v>
      </x:c>
      <x:c r="AC20" s="26" t="n">
        <x:v>0.001057641751228595</x:v>
      </x:c>
      <x:c r="AD20" s="26" t="n">
        <x:v>0.0010516778652128666</x:v>
      </x:c>
      <x:c r="AE20" s="26" t="n">
        <x:v>0.00544164954606209</x:v>
      </x:c>
      <x:c r="AF20" s="26" t="n">
        <x:v>0.004228877811765416</x:v>
      </x:c>
      <x:c r="AG20" s="26" t="n">
        <x:v>0.004212192720253205</x:v>
      </x:c>
      <x:c r="AH20" s="26" t="n">
        <x:v>0.005027624857918172</x:v>
      </x:c>
      <x:c r="AI20" s="26" t="n">
        <x:v>0.010131366827528417</x:v>
      </x:c>
      <x:c r="AJ20" s="26" t="n">
        <x:v>0.09094074682745394</x:v>
      </x:c>
      <x:c r="AK20" s="26" t="n">
        <x:f>SUM(B20:AJ20)</x:f>
        <x:v>1</x:v>
      </x:c>
    </x:row>
    <x:row r="21">
      <x:c r="A21" t="str">
        <x:v>GB</x:v>
      </x:c>
      <x:c r="B21" s="26" t="n">
        <x:v>0.008778007937471922</x:v>
      </x:c>
      <x:c r="C21" s="26" t="n">
        <x:v>0.06214049418173892</x:v>
      </x:c>
      <x:c r="D21" s="26" t="n">
        <x:v>0.15233239700331944</x:v>
      </x:c>
      <x:c r="E21" s="26" t="n">
        <x:v>0.04453330402359229</x:v>
      </x:c>
      <x:c r="F21" s="26" t="n">
        <x:v>0.009883237061757132</x:v>
      </x:c>
      <x:c r="G21" s="26" t="n">
        <x:v>0.09591987905437328</x:v>
      </x:c>
      <x:c r="H21" s="26" t="n">
        <x:v>0.004575793275697072</x:v>
      </x:c>
      <x:c r="I21" s="26" t="n">
        <x:v>0.0502132157787345</x:v>
      </x:c>
      <x:c r="J21" s="26" t="n">
        <x:v>0.09023887780953083</x:v>
      </x:c>
      <x:c r="K21" s="26" t="n">
        <x:v>0.008341736066719842</x:v>
      </x:c>
      <x:c r="L21" s="26" t="n">
        <x:v>0.014112117777263733</x:v>
      </x:c>
      <x:c r="M21" s="26" t="n">
        <x:v>0.022789691688482994</x:v>
      </x:c>
      <x:c r="N21" s="26" t="n">
        <x:v>0.029483897199432875</x:v>
      </x:c>
      <x:c r="O21" s="26" t="n">
        <x:v>0.029902906476099195</x:v>
      </x:c>
      <x:c r="P21" s="26" t="n">
        <x:v>0.036522413188376485</x:v>
      </x:c>
      <x:c r="Q21" s="26" t="n">
        <x:v>0.02533210581339751</x:v>
      </x:c>
      <x:c r="R21" s="26" t="n">
        <x:v>0</x:v>
      </x:c>
      <x:c r="S21" s="26" t="n">
        <x:v>0.13471656497056003</x:v>
      </x:c>
      <x:c r="T21" s="26" t="n">
        <x:v>0.0015464195650433442</x:v>
      </x:c>
      <x:c r="U21" s="26" t="n">
        <x:v>0.007709207963941232</x:v>
      </x:c>
      <x:c r="V21" s="26" t="n">
        <x:v>0.001866740114491405</x:v>
      </x:c>
      <x:c r="W21" s="26" t="n">
        <x:v>0.05288161933879336</x:v>
      </x:c>
      <x:c r="X21" s="26" t="n">
        <x:v>0.0036550898584131975</x:v>
      </x:c>
      <x:c r="Y21" s="26" t="n">
        <x:v>0.014691483013697328</x:v>
      </x:c>
      <x:c r="Z21" s="26" t="n">
        <x:v>0.011394285233036506</x:v>
      </x:c>
      <x:c r="AA21" s="26" t="n">
        <x:v>0.004209322788751343</x:v>
      </x:c>
      <x:c r="AB21" s="26" t="n">
        <x:v>0.007645002114614888</x:v>
      </x:c>
      <x:c r="AC21" s="26" t="n">
        <x:v>0.0005795873654016129</x:v>
      </x:c>
      <x:c r="AD21" s="26" t="n">
        <x:v>0.002880928094600031</x:v>
      </x:c>
      <x:c r="AE21" s="26" t="n">
        <x:v>0.006424657297048194</x:v>
      </x:c>
      <x:c r="AF21" s="26" t="n">
        <x:v>0.012613371319784447</x:v>
      </x:c>
      <x:c r="AG21" s="26" t="n">
        <x:v>0.006788589167216604</x:v>
      </x:c>
      <x:c r="AH21" s="26" t="n">
        <x:v>0.016063034193063055</x:v>
      </x:c>
      <x:c r="AI21" s="26" t="n">
        <x:v>0.014239334210517103</x:v>
      </x:c>
      <x:c r="AJ21" s="26" t="n">
        <x:v>0.0149946890550383</x:v>
      </x:c>
      <x:c r="AK21" s="26" t="n">
        <x:f>SUM(B21:AJ21)</x:f>
        <x:v>1.0000000000000002</x:v>
      </x:c>
    </x:row>
    <x:row r="22">
      <x:c r="A22" t="str">
        <x:v>US</x:v>
      </x:c>
      <x:c r="B22" s="26" t="n">
        <x:v>0.004146034063440089</x:v>
      </x:c>
      <x:c r="C22" s="26" t="n">
        <x:v>0.015354826367420181</x:v>
      </x:c>
      <x:c r="D22" s="26" t="n">
        <x:v>0.05393960988390277</x:v>
      </x:c>
      <x:c r="E22" s="26" t="n">
        <x:v>0.007500182418549513</x:v>
      </x:c>
      <x:c r="F22" s="26" t="n">
        <x:v>0.0029722378210307807</x:v>
      </x:c>
      <x:c r="G22" s="26" t="n">
        <x:v>0.026905361346762875</x:v>
      </x:c>
      <x:c r="H22" s="26" t="n">
        <x:v>0.001042494854778364</x:v>
      </x:c>
      <x:c r="I22" s="26" t="n">
        <x:v>0.019358973964748866</x:v>
      </x:c>
      <x:c r="J22" s="26" t="n">
        <x:v>0.02020995109932261</x:v>
      </x:c>
      <x:c r="K22" s="26" t="n">
        <x:v>0.0016021470355459507</x:v>
      </x:c>
      <x:c r="L22" s="26" t="n">
        <x:v>0.011764525040340784</x:v>
      </x:c>
      <x:c r="M22" s="26" t="n">
        <x:v>0.21790921531453025</x:v>
      </x:c>
      <x:c r="N22" s="26" t="n">
        <x:v>0.013506389310019655</x:v>
      </x:c>
      <x:c r="O22" s="26" t="n">
        <x:v>0.087487020950017</x:v>
      </x:c>
      <x:c r="P22" s="26" t="n">
        <x:v>0.004026964823444147</x:v>
      </x:c>
      <x:c r="Q22" s="26" t="n">
        <x:v>0.00697594061299092</x:v>
      </x:c>
      <x:c r="R22" s="26" t="n">
        <x:v>0.04215903317156665</x:v>
      </x:c>
      <x:c r="S22" s="26" t="n">
        <x:v>0</x:v>
      </x:c>
      <x:c r="T22" s="26" t="n">
        <x:v>0.004337496988780469</x:v>
      </x:c>
      <x:c r="U22" s="26" t="n">
        <x:v>0.020868043865313015</x:v>
      </x:c>
      <x:c r="V22" s="26" t="n">
        <x:v>0.006499315544457856</x:v>
      </x:c>
      <x:c r="W22" s="26" t="n">
        <x:v>0.14081633530568416</x:v>
      </x:c>
      <x:c r="X22" s="26" t="n">
        <x:v>0.008123158123015981</x:v>
      </x:c>
      <x:c r="Y22" s="26" t="n">
        <x:v>0.014853346993112809</x:v>
      </x:c>
      <x:c r="Z22" s="26" t="n">
        <x:v>0.03426212626622954</x:v>
      </x:c>
      <x:c r="AA22" s="26" t="n">
        <x:v>0.1425172678117749</x:v>
      </x:c>
      <x:c r="AB22" s="26" t="n">
        <x:v>0.01779956370008368</x:v>
      </x:c>
      <x:c r="AC22" s="26" t="n">
        <x:v>0.003740484380282366</x:v>
      </x:c>
      <x:c r="AD22" s="26" t="n">
        <x:v>0.008025935917715702</x:v>
      </x:c>
      <x:c r="AE22" s="26" t="n">
        <x:v>0.01738079556173461</x:v>
      </x:c>
      <x:c r="AF22" s="26" t="n">
        <x:v>0.018022349948406124</x:v>
      </x:c>
      <x:c r="AG22" s="26" t="n">
        <x:v>0.012661668459651323</x:v>
      </x:c>
      <x:c r="AH22" s="26" t="n">
        <x:v>0.005041775378871515</x:v>
      </x:c>
      <x:c r="AI22" s="26" t="n">
        <x:v>0.005002803337486849</x:v>
      </x:c>
      <x:c r="AJ22" s="26" t="n">
        <x:v>0.003186624338987796</x:v>
      </x:c>
      <x:c r="AK22" s="26" t="n">
        <x:f>SUM(B22:AJ22)</x:f>
        <x:v>1.0000000000000002</x:v>
      </x:c>
    </x:row>
    <x:row r="23">
      <x:c r="A23" t="str">
        <x:v>AR</x:v>
      </x:c>
      <x:c r="B23" s="26" t="n">
        <x:v>0.0019980496874317903</x:v>
      </x:c>
      <x:c r="C23" s="26" t="n">
        <x:v>0.008607023533038851</x:v>
      </x:c>
      <x:c r="D23" s="26" t="n">
        <x:v>0.04356933371648653</x:v>
      </x:c>
      <x:c r="E23" s="26" t="n">
        <x:v>0.037587747053986396</x:v>
      </x:c>
      <x:c r="F23" s="26" t="n">
        <x:v>0.0026963097427168178</x:v>
      </x:c>
      <x:c r="G23" s="26" t="n">
        <x:v>0.021634964927350075</x:v>
      </x:c>
      <x:c r="H23" s="26" t="n">
        <x:v>0.0016070449938051668</x:v>
      </x:c>
      <x:c r="I23" s="26" t="n">
        <x:v>0.03143531175427109</x:v>
      </x:c>
      <x:c r="J23" s="26" t="n">
        <x:v>0.028596628147208297</x:v>
      </x:c>
      <x:c r="K23" s="26" t="n">
        <x:v>0.002939706238749455</x:v>
      </x:c>
      <x:c r="L23" s="26" t="n">
        <x:v>0.005672237567542529</x:v>
      </x:c>
      <x:c r="M23" s="26" t="n">
        <x:v>0.013614186718088757</x:v>
      </x:c>
      <x:c r="N23" s="26" t="n">
        <x:v>0.009579772023849716</x:v>
      </x:c>
      <x:c r="O23" s="26" t="n">
        <x:v>0.021804452637920756</x:v>
      </x:c>
      <x:c r="P23" s="26" t="n">
        <x:v>0.0009124489717937485</x:v>
      </x:c>
      <x:c r="Q23" s="26" t="n">
        <x:v>0.004289326723417308</x:v>
      </x:c>
      <x:c r="R23" s="26" t="n">
        <x:v>0.014085381397074952</x:v>
      </x:c>
      <x:c r="S23" s="26" t="n">
        <x:v>0.13106016709038595</x:v>
      </x:c>
      <x:c r="T23" s="26" t="n">
        <x:v>0</x:v>
      </x:c>
      <x:c r="U23" s="26" t="n">
        <x:v>0.30437804867197116</x:v>
      </x:c>
      <x:c r="V23" s="26" t="n">
        <x:v>0.06623902164030396</x:v>
      </x:c>
      <x:c r="W23" s="26" t="n">
        <x:v>0.10829940176805308</x:v>
      </x:c>
      <x:c r="X23" s="26" t="n">
        <x:v>0.009614632683281488</x:v>
      </x:c>
      <x:c r="Y23" s="26" t="n">
        <x:v>0.01542285822860741</x:v>
      </x:c>
      <x:c r="Z23" s="26" t="n">
        <x:v>0.016527721290598145</x:v>
      </x:c>
      <x:c r="AA23" s="26" t="n">
        <x:v>0.029616590323916246</x:v>
      </x:c>
      <x:c r="AB23" s="26" t="n">
        <x:v>0.010606957580439925</x:v>
      </x:c>
      <x:c r="AC23" s="26" t="n">
        <x:v>0.013064895787042199</x:v>
      </x:c>
      <x:c r="AD23" s="26" t="n">
        <x:v>0.004901848400099871</x:v>
      </x:c>
      <x:c r="AE23" s="26" t="n">
        <x:v>0.004290687650061792</x:v>
      </x:c>
      <x:c r="AF23" s="26" t="n">
        <x:v>0.00213173455858606</x:v>
      </x:c>
      <x:c r="AG23" s="26" t="n">
        <x:v>0.01056257043449677</x:v>
      </x:c>
      <x:c r="AH23" s="26" t="n">
        <x:v>0.011493863005983367</x:v>
      </x:c>
      <x:c r="AI23" s="26" t="n">
        <x:v>0.004799150781773842</x:v>
      </x:c>
      <x:c r="AJ23" s="26" t="n">
        <x:v>0.006359924269666569</x:v>
      </x:c>
      <x:c r="AK23" s="26" t="n">
        <x:f>SUM(B23:AJ23)</x:f>
        <x:v>1</x:v>
      </x:c>
    </x:row>
    <x:row r="24">
      <x:c r="A24" t="str">
        <x:v>BR</x:v>
      </x:c>
      <x:c r="B24" s="26" t="n">
        <x:v>0.004733205946002903</x:v>
      </x:c>
      <x:c r="C24" s="26" t="n">
        <x:v>0.013647665575547191</x:v>
      </x:c>
      <x:c r="D24" s="26" t="n">
        <x:v>0.07179703411958006</x:v>
      </x:c>
      <x:c r="E24" s="26" t="n">
        <x:v>0.022656818994973595</x:v>
      </x:c>
      <x:c r="F24" s="26" t="n">
        <x:v>0.004913836973550292</x:v>
      </x:c>
      <x:c r="G24" s="26" t="n">
        <x:v>0.03183889622863257</x:v>
      </x:c>
      <x:c r="H24" s="26" t="n">
        <x:v>0.001250160657404309</x:v>
      </x:c>
      <x:c r="I24" s="26" t="n">
        <x:v>0.035159655828419054</x:v>
      </x:c>
      <x:c r="J24" s="26" t="n">
        <x:v>0.04199935534407317</x:v>
      </x:c>
      <x:c r="K24" s="26" t="n">
        <x:v>0.007838670150375331</x:v>
      </x:c>
      <x:c r="L24" s="26" t="n">
        <x:v>0.006695397324576589</x:v>
      </x:c>
      <x:c r="M24" s="26" t="n">
        <x:v>0.017747975427232908</x:v>
      </x:c>
      <x:c r="N24" s="26" t="n">
        <x:v>0.014168282407348442</x:v>
      </x:c>
      <x:c r="O24" s="26" t="n">
        <x:v>0.04697423489444085</x:v>
      </x:c>
      <x:c r="P24" s="26" t="n">
        <x:v>0.005000353156816679</x:v>
      </x:c>
      <x:c r="Q24" s="26" t="n">
        <x:v>0.00886333149614596</x:v>
      </x:c>
      <x:c r="R24" s="26" t="n">
        <x:v>0.025671967685572332</x:v>
      </x:c>
      <x:c r="S24" s="26" t="n">
        <x:v>0.2033725535206261</x:v>
      </x:c>
      <x:c r="T24" s="26" t="n">
        <x:v>0.10859300732134607</x:v>
      </x:c>
      <x:c r="U24" s="26" t="n">
        <x:v>0</x:v>
      </x:c>
      <x:c r="V24" s="26" t="n">
        <x:v>0.028626146167553806</x:v>
      </x:c>
      <x:c r="W24" s="26" t="n">
        <x:v>0.13588309177793037</x:v>
      </x:c>
      <x:c r="X24" s="26" t="n">
        <x:v>0.008330050229320353</x:v>
      </x:c>
      <x:c r="Y24" s="26" t="n">
        <x:v>0.019680749132450017</x:v>
      </x:c>
      <x:c r="Z24" s="26" t="n">
        <x:v>0.032557186799113985</x:v>
      </x:c>
      <x:c r="AA24" s="26" t="n">
        <x:v>0.027833569639629522</x:v>
      </x:c>
      <x:c r="AB24" s="26" t="n">
        <x:v>0.009351237901484302</x:v>
      </x:c>
      <x:c r="AC24" s="26" t="n">
        <x:v>0.009616937748295295</x:v>
      </x:c>
      <x:c r="AD24" s="26" t="n">
        <x:v>0.003029151937325665</x:v>
      </x:c>
      <x:c r="AE24" s="26" t="n">
        <x:v>0.01672273513586117</x:v>
      </x:c>
      <x:c r="AF24" s="26" t="n">
        <x:v>0.009695023036245469</x:v>
      </x:c>
      <x:c r="AG24" s="26" t="n">
        <x:v>0.009801802315550827</x:v>
      </x:c>
      <x:c r="AH24" s="26" t="n">
        <x:v>0.008165846783204558</x:v>
      </x:c>
      <x:c r="AI24" s="26" t="n">
        <x:v>0.0047588966570523104</x:v>
      </x:c>
      <x:c r="AJ24" s="26" t="n">
        <x:v>0.0030251716863180103</x:v>
      </x:c>
      <x:c r="AK24" s="26" t="n">
        <x:f>SUM(B24:AJ24)</x:f>
        <x:v>1</x:v>
      </x:c>
    </x:row>
    <x:row r="25">
      <x:c r="A25" t="str">
        <x:v>CL</x:v>
      </x:c>
      <x:c r="B25" s="26" t="n">
        <x:v>0.0017991874976954127</x:v>
      </x:c>
      <x:c r="C25" s="26" t="n">
        <x:v>0.012182852233093695</x:v>
      </x:c>
      <x:c r="D25" s="26" t="n">
        <x:v>0.03334037634663488</x:v>
      </x:c>
      <x:c r="E25" s="26" t="n">
        <x:v>0.023655842862374255</x:v>
      </x:c>
      <x:c r="F25" s="26" t="n">
        <x:v>0.0053628351698819686</x:v>
      </x:c>
      <x:c r="G25" s="26" t="n">
        <x:v>0.02873968886269382</x:v>
      </x:c>
      <x:c r="H25" s="26" t="n">
        <x:v>0.002360384942622853</x:v>
      </x:c>
      <x:c r="I25" s="26" t="n">
        <x:v>0.0339362035661059</x:v>
      </x:c>
      <x:c r="J25" s="26" t="n">
        <x:v>0.03219915456526756</x:v>
      </x:c>
      <x:c r="K25" s="26" t="n">
        <x:v>0.0013881174415639626</x:v>
      </x:c>
      <x:c r="L25" s="26" t="n">
        <x:v>0.007635231220565911</x:v>
      </x:c>
      <x:c r="M25" s="26" t="n">
        <x:v>0.020711921831526828</x:v>
      </x:c>
      <x:c r="N25" s="26" t="n">
        <x:v>0.006288084216490133</x:v>
      </x:c>
      <x:c r="O25" s="26" t="n">
        <x:v>0.0912715019196601</x:v>
      </x:c>
      <x:c r="P25" s="26" t="n">
        <x:v>0.0015469266611610204</x:v>
      </x:c>
      <x:c r="Q25" s="26" t="n">
        <x:v>0.008039277773127958</x:v>
      </x:c>
      <x:c r="R25" s="26" t="n">
        <x:v>0.01768196288195422</x:v>
      </x:c>
      <x:c r="S25" s="26" t="n">
        <x:v>0.18250388682638505</x:v>
      </x:c>
      <x:c r="T25" s="26" t="n">
        <x:v>0.06563220213955429</x:v>
      </x:c>
      <x:c r="U25" s="26" t="n">
        <x:v>0.07858607898671133</x:v>
      </x:c>
      <x:c r="V25" s="26" t="n">
        <x:v>0</x:v>
      </x:c>
      <x:c r="W25" s="26" t="n">
        <x:v>0.17393384679046373</x:v>
      </x:c>
      <x:c r="X25" s="26" t="n">
        <x:v>0.004434269468810474</x:v>
      </x:c>
      <x:c r="Y25" s="26" t="n">
        <x:v>0.01773346857479651</x:v>
      </x:c>
      <x:c r="Z25" s="26" t="n">
        <x:v>0.057904397239997206</x:v>
      </x:c>
      <x:c r="AA25" s="26" t="n">
        <x:v>0.036462226134573845</x:v>
      </x:c>
      <x:c r="AB25" s="26" t="n">
        <x:v>0.003362404785191021</x:v>
      </x:c>
      <x:c r="AC25" s="26" t="n">
        <x:v>0.028938200387190145</x:v>
      </x:c>
      <x:c r="AD25" s="26" t="n">
        <x:v>0.002224889852929786</x:v>
      </x:c>
      <x:c r="AE25" s="26" t="n">
        <x:v>0.0017265137454842287</x:v>
      </x:c>
      <x:c r="AF25" s="26" t="n">
        <x:v>0.0016171616968550506</x:v>
      </x:c>
      <x:c r="AG25" s="26" t="n">
        <x:v>0.006213654588386598</x:v>
      </x:c>
      <x:c r="AH25" s="26" t="n">
        <x:v>0.002032231248074633</x:v>
      </x:c>
      <x:c r="AI25" s="26" t="n">
        <x:v>0.00562728958900213</x:v>
      </x:c>
      <x:c r="AJ25" s="26" t="n">
        <x:v>0.002927727953173521</x:v>
      </x:c>
      <x:c r="AK25" s="26" t="n">
        <x:f>SUM(B25:AJ25)</x:f>
        <x:v>1</x:v>
      </x:c>
    </x:row>
    <x:row r="26">
      <x:c r="A26" t="str">
        <x:v>CN</x:v>
      </x:c>
      <x:c r="B26" s="26" t="n">
        <x:v>0.0028828707750174834</x:v>
      </x:c>
      <x:c r="C26" s="26" t="n">
        <x:v>0.011523822332224858</x:v>
      </x:c>
      <x:c r="D26" s="26" t="n">
        <x:v>0.06751522114745857</x:v>
      </x:c>
      <x:c r="E26" s="26" t="n">
        <x:v>0.011610300381924486</x:v>
      </x:c>
      <x:c r="F26" s="26" t="n">
        <x:v>0.005781214844200652</x:v>
      </x:c>
      <x:c r="G26" s="26" t="n">
        <x:v>0.022106833171209754</x:v>
      </x:c>
      <x:c r="H26" s="26" t="n">
        <x:v>0.002034018847613518</x:v>
      </x:c>
      <x:c r="I26" s="26" t="n">
        <x:v>0.020598621019295514</x:v>
      </x:c>
      <x:c r="J26" s="26" t="n">
        <x:v>0.028248802193116363</x:v>
      </x:c>
      <x:c r="K26" s="26" t="n">
        <x:v>0.0014730102559288318</x:v>
      </x:c>
      <x:c r="L26" s="26" t="n">
        <x:v>0.03694141840573533</x:v>
      </x:c>
      <x:c r="M26" s="26" t="n">
        <x:v>0.01967172881343174</x:v>
      </x:c>
      <x:c r="N26" s="26" t="n">
        <x:v>0.007864360945514792</x:v>
      </x:c>
      <x:c r="O26" s="26" t="n">
        <x:v>0.1658495595771754</x:v>
      </x:c>
      <x:c r="P26" s="26" t="n">
        <x:v>0.0028931357183027613</x:v>
      </x:c>
      <x:c r="Q26" s="26" t="n">
        <x:v>0.0061011399216483134</x:v>
      </x:c>
      <x:c r="R26" s="26" t="n">
        <x:v>0.025788366310601826</x:v>
      </x:c>
      <x:c r="S26" s="26" t="n">
        <x:v>0.20236714691243285</x:v>
      </x:c>
      <x:c r="T26" s="26" t="n">
        <x:v>0.005963112552978505</x:v>
      </x:c>
      <x:c r="U26" s="26" t="n">
        <x:v>0.025576869628755366</x:v>
      </x:c>
      <x:c r="V26" s="26" t="n">
        <x:v>0.010496805954541234</x:v>
      </x:c>
      <x:c r="W26" s="26" t="n">
        <x:v>0</x:v>
      </x:c>
      <x:c r="X26" s="26" t="n">
        <x:v>0.02070290337334506</x:v>
      </x:c>
      <x:c r="Y26" s="26" t="n">
        <x:v>0.025166369022768597</x:v>
      </x:c>
      <x:c r="Z26" s="26" t="n">
        <x:v>0.10606103015656407</x:v>
      </x:c>
      <x:c r="AA26" s="26" t="n">
        <x:v>0.011167347743529026</x:v>
      </x:c>
      <x:c r="AB26" s="26" t="n">
        <x:v>0.03411157204207024</x:v>
      </x:c>
      <x:c r="AC26" s="26" t="n">
        <x:v>0.00414628436521357</x:v>
      </x:c>
      <x:c r="AD26" s="26" t="n">
        <x:v>0.015429193152694006</x:v>
      </x:c>
      <x:c r="AE26" s="26" t="n">
        <x:v>0.021175175749214143</x:v>
      </x:c>
      <x:c r="AF26" s="26" t="n">
        <x:v>0.030392469574474393</x:v>
      </x:c>
      <x:c r="AG26" s="26" t="n">
        <x:v>0.024735387092923444</x:v>
      </x:c>
      <x:c r="AH26" s="26" t="n">
        <x:v>0.012807486573396516</x:v>
      </x:c>
      <x:c r="AI26" s="26" t="n">
        <x:v>0.006709679267870979</x:v>
      </x:c>
      <x:c r="AJ26" s="26" t="n">
        <x:v>0.004106742176827822</x:v>
      </x:c>
      <x:c r="AK26" s="26" t="n">
        <x:f>SUM(B26:AJ26)</x:f>
        <x:v>1</x:v>
      </x:c>
    </x:row>
    <x:row r="27">
      <x:c r="A27" t="str">
        <x:v>ID</x:v>
      </x:c>
      <x:c r="B27" s="26" t="n">
        <x:v>0.0013961036446307176</x:v>
      </x:c>
      <x:c r="C27" s="26" t="n">
        <x:v>0.00886295929842043</x:v>
      </x:c>
      <x:c r="D27" s="26" t="n">
        <x:v>0.026086194123206567</x:v>
      </x:c>
      <x:c r="E27" s="26" t="n">
        <x:v>0.01074963331058355</x:v>
      </x:c>
      <x:c r="F27" s="26" t="n">
        <x:v>0.002545030793264983</x:v>
      </x:c>
      <x:c r="G27" s="26" t="n">
        <x:v>0.011676331272163254</x:v>
      </x:c>
      <x:c r="H27" s="26" t="n">
        <x:v>0.0010708429722710213</x:v>
      </x:c>
      <x:c r="I27" s="26" t="n">
        <x:v>0.013015245237450648</x:v>
      </x:c>
      <x:c r="J27" s="26" t="n">
        <x:v>0.020170169466979578</x:v>
      </x:c>
      <x:c r="K27" s="26" t="n">
        <x:v>0.0005805878234436617</x:v>
      </x:c>
      <x:c r="L27" s="26" t="n">
        <x:v>0.03690080751827233</x:v>
      </x:c>
      <x:c r="M27" s="26" t="n">
        <x:v>0.00921956171631001</x:v>
      </x:c>
      <x:c r="N27" s="26" t="n">
        <x:v>0.0031831235147570087</x:v>
      </x:c>
      <x:c r="O27" s="26" t="n">
        <x:v>0.184451891411299</x:v>
      </x:c>
      <x:c r="P27" s="26" t="n">
        <x:v>0.000998342670111377</x:v>
      </x:c>
      <x:c r="Q27" s="26" t="n">
        <x:v>0.004423689244071322</x:v>
      </x:c>
      <x:c r="R27" s="26" t="n">
        <x:v>0.013879574926675627</x:v>
      </x:c>
      <x:c r="S27" s="26" t="n">
        <x:v>0.10222353473286837</x:v>
      </x:c>
      <x:c r="T27" s="26" t="n">
        <x:v>0.004324125164521649</x:v>
      </x:c>
      <x:c r="U27" s="26" t="n">
        <x:v>0.009662759215598967</x:v>
      </x:c>
      <x:c r="V27" s="26" t="n">
        <x:v>0.0018527654857493226</x:v>
      </x:c>
      <x:c r="W27" s="26" t="n">
        <x:v>0.12037013520720946</x:v>
      </x:c>
      <x:c r="X27" s="26" t="n">
        <x:v>0</x:v>
      </x:c>
      <x:c r="Y27" s="26" t="n">
        <x:v>0.04264422741786707</x:v>
      </x:c>
      <x:c r="Z27" s="26" t="n">
        <x:v>0.07760265727567102</x:v>
      </x:c>
      <x:c r="AA27" s="26" t="n">
        <x:v>0.0031939310132155893</x:v>
      </x:c>
      <x:c r="AB27" s="26" t="n">
        <x:v>0.060467548594565886</x:v>
      </x:c>
      <x:c r="AC27" s="26" t="n">
        <x:v>0.0005714464809974456</x:v>
      </x:c>
      <x:c r="AD27" s="26" t="n">
        <x:v>0.01370228692071133</x:v>
      </x:c>
      <x:c r="AE27" s="26" t="n">
        <x:v>0.02354382017331265</x:v>
      </x:c>
      <x:c r="AF27" s="26" t="n">
        <x:v>0.13332814573407323</x:v>
      </x:c>
      <x:c r="AG27" s="26" t="n">
        <x:v>0.04465622338090614</x:v>
      </x:c>
      <x:c r="AH27" s="26" t="n">
        <x:v>0.0051728740434688406</x:v>
      </x:c>
      <x:c r="AI27" s="26" t="n">
        <x:v>0.005941602402578957</x:v>
      </x:c>
      <x:c r="AJ27" s="26" t="n">
        <x:v>0.0015318278127730582</x:v>
      </x:c>
      <x:c r="AK27" s="26" t="n">
        <x:f>SUM(B27:AJ27)</x:f>
        <x:v>1.0000000000000004</x:v>
      </x:c>
    </x:row>
    <x:row r="28">
      <x:c r="A28" t="str">
        <x:v>IN</x:v>
      </x:c>
      <x:c r="B28" s="26" t="n">
        <x:v>0.0034172142608334885</x:v>
      </x:c>
      <x:c r="C28" s="26" t="n">
        <x:v>0.041857847870894825</x:v>
      </x:c>
      <x:c r="D28" s="26" t="n">
        <x:v>0.05545064715439623</x:v>
      </x:c>
      <x:c r="E28" s="26" t="n">
        <x:v>0.011677277035058052</x:v>
      </x:c>
      <x:c r="F28" s="26" t="n">
        <x:v>0.004467909450227693</x:v>
      </x:c>
      <x:c r="G28" s="26" t="n">
        <x:v>0.026423577947782845</x:v>
      </x:c>
      <x:c r="H28" s="26" t="n">
        <x:v>0.002331675396180507</x:v>
      </x:c>
      <x:c r="I28" s="26" t="n">
        <x:v>0.02614651793602821</x:v>
      </x:c>
      <x:c r="J28" s="26" t="n">
        <x:v>0.025409767780278744</x:v>
      </x:c>
      <x:c r="K28" s="26" t="n">
        <x:v>0.0018617785190290638</x:v>
      </x:c>
      <x:c r="L28" s="26" t="n">
        <x:v>0.035658841281674264</x:v>
      </x:c>
      <x:c r="M28" s="26" t="n">
        <x:v>0.012052180902589861</x:v>
      </x:c>
      <x:c r="N28" s="26" t="n">
        <x:v>0.055120300956437766</x:v>
      </x:c>
      <x:c r="O28" s="26" t="n">
        <x:v>0.04089654958569991</x:v>
      </x:c>
      <x:c r="P28" s="26" t="n">
        <x:v>0.0035962896342846564</x:v>
      </x:c>
      <x:c r="Q28" s="26" t="n">
        <x:v>0.007738357927395425</x:v>
      </x:c>
      <x:c r="R28" s="26" t="n">
        <x:v>0.044819982615469746</x:v>
      </x:c>
      <x:c r="S28" s="26" t="n">
        <x:v>0.1455487187259097</x:v>
      </x:c>
      <x:c r="T28" s="26" t="n">
        <x:v>0.004475441315384641</x:v>
      </x:c>
      <x:c r="U28" s="26" t="n">
        <x:v>0.016648132060485665</x:v>
      </x:c>
      <x:c r="V28" s="26" t="n">
        <x:v>0.0058364211927398315</x:v>
      </x:c>
      <x:c r="W28" s="26" t="n">
        <x:v>0.13507742000675263</x:v>
      </x:c>
      <x:c r="X28" s="26" t="n">
        <x:v>0.036688876635334225</x:v>
      </x:c>
      <x:c r="Y28" s="26" t="n">
        <x:v>0</x:v>
      </x:c>
      <x:c r="Z28" s="26" t="n">
        <x:v>0.03785216265013533</x:v>
      </x:c>
      <x:c r="AA28" s="26" t="n">
        <x:v>0.006788603809356949</x:v>
      </x:c>
      <x:c r="AB28" s="26" t="n">
        <x:v>0.03055741046310518</x:v>
      </x:c>
      <x:c r="AC28" s="26" t="n">
        <x:v>0.0016256862224271705</x:v>
      </x:c>
      <x:c r="AD28" s="26" t="n">
        <x:v>0.003792716454102063</x:v>
      </x:c>
      <x:c r="AE28" s="26" t="n">
        <x:v>0.06780255405547472</x:v>
      </x:c>
      <x:c r="AF28" s="26" t="n">
        <x:v>0.05079159022908731</x:v>
      </x:c>
      <x:c r="AG28" s="26" t="n">
        <x:v>0.0168130235944123</x:v>
      </x:c>
      <x:c r="AH28" s="26" t="n">
        <x:v>0.027676683214362126</x:v>
      </x:c>
      <x:c r="AI28" s="26" t="n">
        <x:v>0.00933560607951038</x:v>
      </x:c>
      <x:c r="AJ28" s="26" t="n">
        <x:v>0.003762237037158527</x:v>
      </x:c>
      <x:c r="AK28" s="26" t="n">
        <x:f>SUM(B28:AJ28)</x:f>
        <x:v>1.0000000000000002</x:v>
      </x:c>
    </x:row>
    <x:row r="29">
      <x:c r="A29" t="str">
        <x:v>KR</x:v>
      </x:c>
      <x:c r="B29" s="26" t="n">
        <x:v>0.002862833056876132</x:v>
      </x:c>
      <x:c r="C29" s="26" t="n">
        <x:v>0.005932241756066196</x:v>
      </x:c>
      <x:c r="D29" s="26" t="n">
        <x:v>0.03975791266499062</x:v>
      </x:c>
      <x:c r="E29" s="26" t="n">
        <x:v>0.006465568342715907</x:v>
      </x:c>
      <x:c r="F29" s="26" t="n">
        <x:v>0.0038048553750841922</x:v>
      </x:c>
      <x:c r="G29" s="26" t="n">
        <x:v>0.013608645592565345</x:v>
      </x:c>
      <x:c r="H29" s="26" t="n">
        <x:v>0.003930732538726468</x:v>
      </x:c>
      <x:c r="I29" s="26" t="n">
        <x:v>0.013336794539897313</x:v>
      </x:c>
      <x:c r="J29" s="26" t="n">
        <x:v>0.0137085060652073</x:v>
      </x:c>
      <x:c r="K29" s="26" t="n">
        <x:v>0.001069130211544363</x:v>
      </x:c>
      <x:c r="L29" s="26" t="n">
        <x:v>0.03680953610495114</x:v>
      </x:c>
      <x:c r="M29" s="26" t="n">
        <x:v>0.014199847632548107</x:v>
      </x:c>
      <x:c r="N29" s="26" t="n">
        <x:v>0.004772863226578801</x:v>
      </x:c>
      <x:c r="O29" s="26" t="n">
        <x:v>0.1557007508479338</x:v>
      </x:c>
      <x:c r="P29" s="26" t="n">
        <x:v>0.005533158179206769</x:v>
      </x:c>
      <x:c r="Q29" s="26" t="n">
        <x:v>0.003722988482146054</x:v>
      </x:c>
      <x:c r="R29" s="26" t="n">
        <x:v>0.018180027463032076</x:v>
      </x:c>
      <x:c r="S29" s="26" t="n">
        <x:v>0.16228568439211347</x:v>
      </x:c>
      <x:c r="T29" s="26" t="n">
        <x:v>0.002381119223091131</x:v>
      </x:c>
      <x:c r="U29" s="26" t="n">
        <x:v>0.01558999576909405</x:v>
      </x:c>
      <x:c r="V29" s="26" t="n">
        <x:v>0.00928744458483764</x:v>
      </x:c>
      <x:c r="W29" s="26" t="n">
        <x:v>0.2430034652674527</x:v>
      </x:c>
      <x:c r="X29" s="26" t="n">
        <x:v>0.03259478542632835</x:v>
      </x:c>
      <x:c r="Y29" s="26" t="n">
        <x:v>0.020331498756760484</x:v>
      </x:c>
      <x:c r="Z29" s="26" t="n">
        <x:v>0</x:v>
      </x:c>
      <x:c r="AA29" s="26" t="n">
        <x:v>0.013760321343211535</x:v>
      </x:c>
      <x:c r="AB29" s="26" t="n">
        <x:v>0.025271040173167097</x:v>
      </x:c>
      <x:c r="AC29" s="26" t="n">
        <x:v>0.002637936678863769</x:v>
      </x:c>
      <x:c r="AD29" s="26" t="n">
        <x:v>0.01474591772413091</x:v>
      </x:c>
      <x:c r="AE29" s="26" t="n">
        <x:v>0.048903262496167214</x:v>
      </x:c>
      <x:c r="AF29" s="26" t="n">
        <x:v>0.03563177452433778</x:v>
      </x:c>
      <x:c r="AG29" s="26" t="n">
        <x:v>0.01585267087505598</x:v>
      </x:c>
      <x:c r="AH29" s="26" t="n">
        <x:v>0.005780051903142757</x:v>
      </x:c>
      <x:c r="AI29" s="26" t="n">
        <x:v>0.006384605023477182</x:v>
      </x:c>
      <x:c r="AJ29" s="26" t="n">
        <x:v>0.002162033758697403</x:v>
      </x:c>
      <x:c r="AK29" s="26" t="n">
        <x:f>SUM(B29:AJ29)</x:f>
        <x:v>0.9999999999999997</x:v>
      </x:c>
    </x:row>
    <x:row r="30">
      <x:c r="A30" t="str">
        <x:v>MX</x:v>
      </x:c>
      <x:c r="B30" s="26" t="n">
        <x:v>0.0011811495754651313</x:v>
      </x:c>
      <x:c r="C30" s="26" t="n">
        <x:v>0</x:v>
      </x:c>
      <x:c r="D30" s="26" t="n">
        <x:v>0.02715614896466056</x:v>
      </x:c>
      <x:c r="E30" s="26" t="n">
        <x:v>0.013205203788101841</x:v>
      </x:c>
      <x:c r="F30" s="26" t="n">
        <x:v>0.0010082378173781594</x:v>
      </x:c>
      <x:c r="G30" s="26" t="n">
        <x:v>0.006990365023715092</x:v>
      </x:c>
      <x:c r="H30" s="26" t="n">
        <x:v>0.000226822067620031</x:v>
      </x:c>
      <x:c r="I30" s="26" t="n">
        <x:v>0.009327925247397324</x:v>
      </x:c>
      <x:c r="J30" s="26" t="n">
        <x:v>0.006696764723461508</x:v>
      </x:c>
      <x:c r="K30" s="26" t="n">
        <x:v>0.0010530684958319663</x:v>
      </x:c>
      <x:c r="L30" s="26" t="n">
        <x:v>0.0024339086061819985</x:v>
      </x:c>
      <x:c r="M30" s="26" t="n">
        <x:v>0.027971705354253848</x:v>
      </x:c>
      <x:c r="N30" s="26" t="n">
        <x:v>0.0035155196584978976</x:v>
      </x:c>
      <x:c r="O30" s="26" t="n">
        <x:v>0.03173136279572393</x:v>
      </x:c>
      <x:c r="P30" s="26" t="n">
        <x:v>0.0004700396177125627</x:v>
      </x:c>
      <x:c r="Q30" s="26" t="n">
        <x:v>0.002310612737523034</x:v>
      </x:c>
      <x:c r="R30" s="26" t="n">
        <x:v>0.006913218833970771</x:v>
      </x:c>
      <x:c r="S30" s="26" t="n">
        <x:v>0.7217205495992716</x:v>
      </x:c>
      <x:c r="T30" s="26" t="n">
        <x:v>0.004286398741783989</x:v>
      </x:c>
      <x:c r="U30" s="26" t="n">
        <x:v>0.013313285139817194</x:v>
      </x:c>
      <x:c r="V30" s="26" t="n">
        <x:v>0.0059635385021679236</x:v>
      </x:c>
      <x:c r="W30" s="26" t="n">
        <x:v>0.060445266641847996</x:v>
      </x:c>
      <x:c r="X30" s="26" t="n">
        <x:v>0.0019132715173031311</x:v>
      </x:c>
      <x:c r="Y30" s="26" t="n">
        <x:v>0.004589324068551399</x:v>
      </x:c>
      <x:c r="Z30" s="26" t="n">
        <x:v>0.021093225311490015</x:v>
      </x:c>
      <x:c r="AA30" s="26" t="n">
        <x:v>0</x:v>
      </x:c>
      <x:c r="AB30" s="26" t="n">
        <x:v>0.008591079443443768</x:v>
      </x:c>
      <x:c r="AC30" s="26" t="n">
        <x:v>0.0020399262359728325</x:v>
      </x:c>
      <x:c r="AD30" s="26" t="n">
        <x:v>0.002619703624584126</x:v>
      </x:c>
      <x:c r="AE30" s="26" t="n">
        <x:v>0.0010745099219279027</x:v>
      </x:c>
      <x:c r="AF30" s="26" t="n">
        <x:v>0.004317579299189595</x:v>
      </x:c>
      <x:c r="AG30" s="26" t="n">
        <x:v>0.00430280956147115</x:v>
      </x:c>
      <x:c r="AH30" s="26" t="n">
        <x:v>0</x:v>
      </x:c>
      <x:c r="AI30" s="26" t="n">
        <x:v>0.0006850980416876844</x:v>
      </x:c>
      <x:c r="AJ30" s="26" t="n">
        <x:v>0.0008523810419941067</x:v>
      </x:c>
      <x:c r="AK30" s="26" t="n">
        <x:f>SUM(B30:AJ30)</x:f>
        <x:v>1</x:v>
      </x:c>
    </x:row>
    <x:row r="31">
      <x:c r="A31" t="str">
        <x:v>MY</x:v>
      </x:c>
      <x:c r="B31" s="26" t="n">
        <x:v>0.0018588607391668611</x:v>
      </x:c>
      <x:c r="C31" s="26" t="n">
        <x:v>0.005068347153061764</x:v>
      </x:c>
      <x:c r="D31" s="26" t="n">
        <x:v>0.037867147518530764</x:v>
      </x:c>
      <x:c r="E31" s="26" t="n">
        <x:v>0.0036463763769256853</x:v>
      </x:c>
      <x:c r="F31" s="26" t="n">
        <x:v>0.0024778277000311807</x:v>
      </x:c>
      <x:c r="G31" s="26" t="n">
        <x:v>0.016068674385888427</x:v>
      </x:c>
      <x:c r="H31" s="26" t="n">
        <x:v>0.0005494868842604803</x:v>
      </x:c>
      <x:c r="I31" s="26" t="n">
        <x:v>0.008353667372130738</x:v>
      </x:c>
      <x:c r="J31" s="26" t="n">
        <x:v>0.026648327888303854</x:v>
      </x:c>
      <x:c r="K31" s="26" t="n">
        <x:v>0.0009077929207957473</x:v>
      </x:c>
      <x:c r="L31" s="26" t="n">
        <x:v>0.032890913624442415</x:v>
      </x:c>
      <x:c r="M31" s="26" t="n">
        <x:v>0.006262468797186708</x:v>
      </x:c>
      <x:c r="N31" s="26" t="n">
        <x:v>0.006252954009626309</x:v>
      </x:c>
      <x:c r="O31" s="26" t="n">
        <x:v>0.14673038392199417</x:v>
      </x:c>
      <x:c r="P31" s="26" t="n">
        <x:v>0.0008227288233703918</x:v>
      </x:c>
      <x:c r="Q31" s="26" t="n">
        <x:v>0.003944653903237709</x:v>
      </x:c>
      <x:c r="R31" s="26" t="n">
        <x:v>0.01938601613252778</x:v>
      </x:c>
      <x:c r="S31" s="26" t="n">
        <x:v>0.1620752706309044</x:v>
      </x:c>
      <x:c r="T31" s="26" t="n">
        <x:v>0.0031203761609621353</x:v>
      </x:c>
      <x:c r="U31" s="26" t="n">
        <x:v>0.005593462272508068</x:v>
      </x:c>
      <x:c r="V31" s="26" t="n">
        <x:v>0.0010189673654798703</x:v>
      </x:c>
      <x:c r="W31" s="26" t="n">
        <x:v>0.12062300805867734</x:v>
      </x:c>
      <x:c r="X31" s="26" t="n">
        <x:v>0.041937990896655876</x:v>
      </x:c>
      <x:c r="Y31" s="26" t="n">
        <x:v>0.02828638865700765</x:v>
      </x:c>
      <x:c r="Z31" s="26" t="n">
        <x:v>0.04935083228154364</x:v>
      </x:c>
      <x:c r="AA31" s="26" t="n">
        <x:v>0.005264016704553013</x:v>
      </x:c>
      <x:c r="AB31" s="26" t="n">
        <x:v>0</x:v>
      </x:c>
      <x:c r="AC31" s="26" t="n">
        <x:v>0.00028819374813339465</x:v>
      </x:c>
      <x:c r="AD31" s="26" t="n">
        <x:v>0.020102470152648804</x:v>
      </x:c>
      <x:c r="AE31" s="26" t="n">
        <x:v>0.009207848732453278</x:v>
      </x:c>
      <x:c r="AF31" s="26" t="n">
        <x:v>0.1630629435123816</x:v>
      </x:c>
      <x:c r="AG31" s="26" t="n">
        <x:v>0.06124219882251817</x:v>
      </x:c>
      <x:c r="AH31" s="26" t="n">
        <x:v>0.00474617202078409</x:v>
      </x:c>
      <x:c r="AI31" s="26" t="n">
        <x:v>0.0028292426279678865</x:v>
      </x:c>
      <x:c r="AJ31" s="26" t="n">
        <x:v>0.001513989203339798</x:v>
      </x:c>
      <x:c r="AK31" s="26" t="n">
        <x:f>SUM(B31:AJ31)</x:f>
        <x:v>0.9999999999999999</x:v>
      </x:c>
    </x:row>
    <x:row r="32">
      <x:c r="A32" t="str">
        <x:v>PE</x:v>
      </x:c>
      <x:c r="B32" s="26" t="n">
        <x:v>0.0017819999556366786</x:v>
      </x:c>
      <x:c r="C32" s="26" t="n">
        <x:v>0.0053745505193912736</x:v>
      </x:c>
      <x:c r="D32" s="26" t="n">
        <x:v>0.04025356493329799</x:v>
      </x:c>
      <x:c r="E32" s="26" t="n">
        <x:v>0.03982486590527202</x:v>
      </x:c>
      <x:c r="F32" s="26" t="n">
        <x:v>0.0075140924922545375</x:v>
      </x:c>
      <x:c r="G32" s="26" t="n">
        <x:v>0.010716816839438379</x:v>
      </x:c>
      <x:c r="H32" s="26" t="n">
        <x:v>0.00045131992960726827</x:v>
      </x:c>
      <x:c r="I32" s="26" t="n">
        <x:v>0.026762283533894347</x:v>
      </x:c>
      <x:c r="J32" s="26" t="n">
        <x:v>0.017639032343716478</x:v>
      </x:c>
      <x:c r="K32" s="26" t="n">
        <x:v>0.001096125434875852</x:v>
      </x:c>
      <x:c r="L32" s="26" t="n">
        <x:v>0.004445995452539922</x:v>
      </x:c>
      <x:c r="M32" s="26" t="n">
        <x:v>0.0562081087806214</x:v>
      </x:c>
      <x:c r="N32" s="26" t="n">
        <x:v>0.03777383095510059</x:v>
      </x:c>
      <x:c r="O32" s="26" t="n">
        <x:v>0.055549467189919606</x:v>
      </x:c>
      <x:c r="P32" s="26" t="n">
        <x:v>0.0029618007643229297</x:v>
      </x:c>
      <x:c r="Q32" s="26" t="n">
        <x:v>0.007176975172572223</x:v>
      </x:c>
      <x:c r="R32" s="26" t="n">
        <x:v>0.020882166845181453</x:v>
      </x:c>
      <x:c r="S32" s="26" t="n">
        <x:v>0.25959175641637483</x:v>
      </x:c>
      <x:c r="T32" s="26" t="n">
        <x:v>0.029142090228407417</x:v>
      </x:c>
      <x:c r="U32" s="26" t="n">
        <x:v>0.06007254940415887</x:v>
      </x:c>
      <x:c r="V32" s="26" t="n">
        <x:v>0.06216487299022624</x:v>
      </x:c>
      <x:c r="W32" s="26" t="n">
        <x:v>0.15115593905182406</x:v>
      </x:c>
      <x:c r="X32" s="26" t="n">
        <x:v>0.0031827388904469736</x:v>
      </x:c>
      <x:c r="Y32" s="26" t="n">
        <x:v>0.011694127635911539</x:v>
      </x:c>
      <x:c r="Z32" s="26" t="n">
        <x:v>0.03591979550704971</x:v>
      </x:c>
      <x:c r="AA32" s="26" t="n">
        <x:v>0.029708052008747047</x:v>
      </x:c>
      <x:c r="AB32" s="26" t="n">
        <x:v>0.002939399483145342</x:v>
      </x:c>
      <x:c r="AC32" s="26" t="n">
        <x:v>0</x:v>
      </x:c>
      <x:c r="AD32" s="26" t="n">
        <x:v>0.001372188282329057</x:v>
      </x:c>
      <x:c r="AE32" s="26" t="n">
        <x:v>0.0004445116970925114</x:v>
      </x:c>
      <x:c r="AF32" s="26" t="n">
        <x:v>0.001208351461167489</x:v>
      </x:c>
      <x:c r="AG32" s="26" t="n">
        <x:v>0.007149303001705792</x:v>
      </x:c>
      <x:c r="AH32" s="26" t="n">
        <x:v>0.0015722624701014275</x:v>
      </x:c>
      <x:c r="AI32" s="26" t="n">
        <x:v>0.003548626483014229</x:v>
      </x:c>
      <x:c r="AJ32" s="26" t="n">
        <x:v>0.002720437940654614</x:v>
      </x:c>
      <x:c r="AK32" s="26" t="n">
        <x:f>SUM(B32:AJ32)</x:f>
        <x:v>1.0000000000000002</x:v>
      </x:c>
    </x:row>
    <x:row r="33">
      <x:c r="A33" t="str">
        <x:v>PH</x:v>
      </x:c>
      <x:c r="B33" s="26" t="n">
        <x:v>0.0015595511759758044</x:v>
      </x:c>
      <x:c r="C33" s="26" t="n">
        <x:v>0.007964941807909161</x:v>
      </x:c>
      <x:c r="D33" s="26" t="n">
        <x:v>0.03888599392279642</x:v>
      </x:c>
      <x:c r="E33" s="26" t="n">
        <x:v>0.0033417551322054875</x:v>
      </x:c>
      <x:c r="F33" s="26" t="n">
        <x:v>0.0031054565245903698</x:v>
      </x:c>
      <x:c r="G33" s="26" t="n">
        <x:v>0.010511410267788072</x:v>
      </x:c>
      <x:c r="H33" s="26" t="n">
        <x:v>0.00027870866099680906</x:v>
      </x:c>
      <x:c r="I33" s="26" t="n">
        <x:v>0.005445470488493131</x:v>
      </x:c>
      <x:c r="J33" s="26" t="n">
        <x:v>0.04826882554781616</x:v>
      </x:c>
      <x:c r="K33" s="26" t="n">
        <x:v>0.0002955941452135935</x:v>
      </x:c>
      <x:c r="L33" s="26" t="n">
        <x:v>0.015798824770298512</x:v>
      </x:c>
      <x:c r="M33" s="26" t="n">
        <x:v>0.008187496416743174</x:v>
      </x:c>
      <x:c r="N33" s="26" t="n">
        <x:v>0.004515590799531605</x:v>
      </x:c>
      <x:c r="O33" s="26" t="n">
        <x:v>0.19008666965631363</x:v>
      </x:c>
      <x:c r="P33" s="26" t="n">
        <x:v>0.0005541776651380722</x:v>
      </x:c>
      <x:c r="Q33" s="26" t="n">
        <x:v>0.002167919464879371</x:v>
      </x:c>
      <x:c r="R33" s="26" t="n">
        <x:v>0.014910766106199486</x:v>
      </x:c>
      <x:c r="S33" s="26" t="n">
        <x:v>0.21220665398030134</x:v>
      </x:c>
      <x:c r="T33" s="26" t="n">
        <x:v>0.0033752315863794617</x:v>
      </x:c>
      <x:c r="U33" s="26" t="n">
        <x:v>0.0036656226463402087</x:v>
      </x:c>
      <x:c r="V33" s="26" t="n">
        <x:v>0.0011608770399039333</x:v>
      </x:c>
      <x:c r="W33" s="26" t="n">
        <x:v>0.09243320220249543</x:v>
      </x:c>
      <x:c r="X33" s="26" t="n">
        <x:v>0.023904740737133848</x:v>
      </x:c>
      <x:c r="Y33" s="26" t="n">
        <x:v>0.00815421630540893</x:v>
      </x:c>
      <x:c r="Z33" s="26" t="n">
        <x:v>0.0653102059793463</x:v>
      </x:c>
      <x:c r="AA33" s="26" t="n">
        <x:v>0.0031796741180083296</x:v>
      </x:c>
      <x:c r="AB33" s="26" t="n">
        <x:v>0.04973442667498113</x:v>
      </x:c>
      <x:c r="AC33" s="26" t="n">
        <x:v>0.0005975694327184138</x:v>
      </x:c>
      <x:c r="AD33" s="26" t="n">
        <x:v>0</x:v>
      </x:c>
      <x:c r="AE33" s="26" t="n">
        <x:v>0.030830047208672384</x:v>
      </x:c>
      <x:c r="AF33" s="26" t="n">
        <x:v>0.09793787005716717</x:v>
      </x:c>
      <x:c r="AG33" s="26" t="n">
        <x:v>0.047642197374817695</x:v>
      </x:c>
      <x:c r="AH33" s="26" t="n">
        <x:v>0.0016487889966331128</x:v>
      </x:c>
      <x:c r="AI33" s="26" t="n">
        <x:v>0.0010632946485580974</x:v>
      </x:c>
      <x:c r="AJ33" s="26" t="n">
        <x:v>0.0012762284582453392</x:v>
      </x:c>
      <x:c r="AK33" s="26" t="n">
        <x:f>SUM(B33:AJ33)</x:f>
        <x:v>1</x:v>
      </x:c>
    </x:row>
    <x:row r="34">
      <x:c r="A34" t="str">
        <x:v>SA</x:v>
      </x:c>
      <x:c r="B34" s="26" t="n">
        <x:v>0.0035559586301672956</x:v>
      </x:c>
      <x:c r="C34" s="26" t="n">
        <x:v>0.009369107114210953</x:v>
      </x:c>
      <x:c r="D34" s="26" t="n">
        <x:v>0.03237547868606627</x:v>
      </x:c>
      <x:c r="E34" s="26" t="n">
        <x:v>0.02124456349271284</x:v>
      </x:c>
      <x:c r="F34" s="26" t="n">
        <x:v>0.002621733218033295</x:v>
      </x:c>
      <x:c r="G34" s="26" t="n">
        <x:v>0.03086062723276692</x:v>
      </x:c>
      <x:c r="H34" s="26" t="n">
        <x:v>0.007927052446272686</x:v>
      </x:c>
      <x:c r="I34" s="26" t="n">
        <x:v>0.03392578448151556</x:v>
      </x:c>
      <x:c r="J34" s="26" t="n">
        <x:v>0.027432360178074502</x:v>
      </x:c>
      <x:c r="K34" s="26" t="n">
        <x:v>0.003102010184277265</x:v>
      </x:c>
      <x:c r="L34" s="26" t="n">
        <x:v>0.010342633000286292</x:v>
      </x:c>
      <x:c r="M34" s="26" t="n">
        <x:v>0.010076760398996314</x:v>
      </x:c>
      <x:c r="N34" s="26" t="n">
        <x:v>0.007017547172107125</x:v>
      </x:c>
      <x:c r="O34" s="26" t="n">
        <x:v>0.15461337914006368</x:v>
      </x:c>
      <x:c r="P34" s="26" t="n">
        <x:v>0.0006260453611384887</x:v>
      </x:c>
      <x:c r="Q34" s="26" t="n">
        <x:v>0.005471192402952654</x:v>
      </x:c>
      <x:c r="R34" s="26" t="n">
        <x:v>0.020677328983148488</x:v>
      </x:c>
      <x:c r="S34" s="26" t="n">
        <x:v>0.1786039408725069</x:v>
      </x:c>
      <x:c r="T34" s="26" t="n">
        <x:v>0.001541739411004776</x:v>
      </x:c>
      <x:c r="U34" s="26" t="n">
        <x:v>0.016083054628637794</x:v>
      </x:c>
      <x:c r="V34" s="26" t="n">
        <x:v>0.0006419893256556151</x:v>
      </x:c>
      <x:c r="W34" s="26" t="n">
        <x:v>0.1167794002859564</x:v>
      </x:c>
      <x:c r="X34" s="26" t="n">
        <x:v>0.017127349339675114</x:v>
      </x:c>
      <x:c r="Y34" s="26" t="n">
        <x:v>0.0652417587535512</x:v>
      </x:c>
      <x:c r="Z34" s="26" t="n">
        <x:v>0.10221927398737993</x:v>
      </x:c>
      <x:c r="AA34" s="26" t="n">
        <x:v>0.002667991694033643</x:v>
      </x:c>
      <x:c r="AB34" s="26" t="n">
        <x:v>0.009702706599864252</x:v>
      </x:c>
      <x:c r="AC34" s="26" t="n">
        <x:v>0.0000692303722454179</x:v>
      </x:c>
      <x:c r="AD34" s="26" t="n">
        <x:v>0.010081061073635803</x:v>
      </x:c>
      <x:c r="AE34" s="26" t="n">
        <x:v>0</x:v>
      </x:c>
      <x:c r="AF34" s="26" t="n">
        <x:v>0.041111827190921005</x:v>
      </x:c>
      <x:c r="AG34" s="26" t="n">
        <x:v>0.02352168330223561</x:v>
      </x:c>
      <x:c r="AH34" s="26" t="n">
        <x:v>0.01703525196568803</x:v>
      </x:c>
      <x:c r="AI34" s="26" t="n">
        <x:v>0.014394008370021933</x:v>
      </x:c>
      <x:c r="AJ34" s="26" t="n">
        <x:v>0.001938170704195962</x:v>
      </x:c>
      <x:c r="AK34" s="26" t="n">
        <x:f>SUM(B34:AJ34)</x:f>
        <x:v>1</x:v>
      </x:c>
    </x:row>
    <x:row r="35">
      <x:c r="A35" t="str">
        <x:v>SG</x:v>
      </x:c>
      <x:c r="B35" s="26" t="n">
        <x:v>0.0021607099579195313</x:v>
      </x:c>
      <x:c r="C35" s="26" t="n">
        <x:v>0.007092810715784253</x:v>
      </x:c>
      <x:c r="D35" s="26" t="n">
        <x:v>0.033369431890804914</x:v>
      </x:c>
      <x:c r="E35" s="26" t="n">
        <x:v>0.0026673012822504053</x:v>
      </x:c>
      <x:c r="F35" s="26" t="n">
        <x:v>0.0018975000697740755</x:v>
      </x:c>
      <x:c r="G35" s="26" t="n">
        <x:v>0.02460708917221456</x:v>
      </x:c>
      <x:c r="H35" s="26" t="n">
        <x:v>0.00156055435778916</x:v>
      </x:c>
      <x:c r="I35" s="26" t="n">
        <x:v>0.008142200984973424</x:v>
      </x:c>
      <x:c r="J35" s="26" t="n">
        <x:v>0.02322706045210132</x:v>
      </x:c>
      <x:c r="K35" s="26" t="n">
        <x:v>0.0006456664307225425</x:v>
      </x:c>
      <x:c r="L35" s="26" t="n">
        <x:v>0.03304240040480001</x:v>
      </x:c>
      <x:c r="M35" s="26" t="n">
        <x:v>0.005115858866834324</x:v>
      </x:c>
      <x:c r="N35" s="26" t="n">
        <x:v>0.009387569681437589</x:v>
      </x:c>
      <x:c r="O35" s="26" t="n">
        <x:v>0.09254224327515884</x:v>
      </x:c>
      <x:c r="P35" s="26" t="n">
        <x:v>0.002857819986669604</x:v>
      </x:c>
      <x:c r="Q35" s="26" t="n">
        <x:v>0.002881866419464082</x:v>
      </x:c>
      <x:c r="R35" s="26" t="n">
        <x:v>0.026416445268663304</x:v>
      </x:c>
      <x:c r="S35" s="26" t="n">
        <x:v>0.1374560916079211</x:v>
      </x:c>
      <x:c r="T35" s="26" t="n">
        <x:v>0.00040934124284894573</x:v>
      </x:c>
      <x:c r="U35" s="26" t="n">
        <x:v>0.004796258122766737</x:v>
      </x:c>
      <x:c r="V35" s="26" t="n">
        <x:v>0.0004876498309575195</x:v>
      </x:c>
      <x:c r="W35" s="26" t="n">
        <x:v>0.12011222746127856</x:v>
      </x:c>
      <x:c r="X35" s="26" t="n">
        <x:v>0.0864300342626189</x:v>
      </x:c>
      <x:c r="Y35" s="26" t="n">
        <x:v>0.03444909701308615</x:v>
      </x:c>
      <x:c r="Z35" s="26" t="n">
        <x:v>0.05695705086348769</x:v>
      </x:c>
      <x:c r="AA35" s="26" t="n">
        <x:v>0.0049613703912252125</x:v>
      </x:c>
      <x:c r="AB35" s="26" t="n">
        <x:v>0.16937698215533933</x:v>
      </x:c>
      <x:c r="AC35" s="26" t="n">
        <x:v>0.00009663906556665931</x:v>
      </x:c>
      <x:c r="AD35" s="26" t="n">
        <x:v>0.026323767951450486</x:v>
      </x:c>
      <x:c r="AE35" s="26" t="n">
        <x:v>0.025436947336104635</x:v>
      </x:c>
      <x:c r="AF35" s="26" t="n">
        <x:v>0</x:v>
      </x:c>
      <x:c r="AG35" s="26" t="n">
        <x:v>0.0482044252689692</x:v>
      </x:c>
      <x:c r="AH35" s="26" t="n">
        <x:v>0.0031685511448703756</x:v>
      </x:c>
      <x:c r="AI35" s="26" t="n">
        <x:v>0.001801235497832904</x:v>
      </x:c>
      <x:c r="AJ35" s="26" t="n">
        <x:v>0.0019178015663136757</x:v>
      </x:c>
      <x:c r="AK35" s="26" t="n">
        <x:f>SUM(B35:AJ35)</x:f>
        <x:v>1.0000000000000002</x:v>
      </x:c>
    </x:row>
    <x:row r="36">
      <x:c r="A36" t="str">
        <x:v>TH</x:v>
      </x:c>
      <x:c r="B36" s="26" t="n">
        <x:v>0.0020188293431648444</x:v>
      </x:c>
      <x:c r="C36" s="26" t="n">
        <x:v>0.010403474105117024</x:v>
      </x:c>
      <x:c r="D36" s="26" t="n">
        <x:v>0.029749790285900666</x:v>
      </x:c>
      <x:c r="E36" s="26" t="n">
        <x:v>0.006183971267245074</x:v>
      </x:c>
      <x:c r="F36" s="26" t="n">
        <x:v>0.002997071768454151</x:v>
      </x:c>
      <x:c r="G36" s="26" t="n">
        <x:v>0.01431216170492083</x:v>
      </x:c>
      <x:c r="H36" s="26" t="n">
        <x:v>0.0011539537367576014</x:v>
      </x:c>
      <x:c r="I36" s="26" t="n">
        <x:v>0.012741319999111645</x:v>
      </x:c>
      <x:c r="J36" s="26" t="n">
        <x:v>0.019472565592720485</x:v>
      </x:c>
      <x:c r="K36" s="26" t="n">
        <x:v>0.0008483278249058917</x:v>
      </x:c>
      <x:c r="L36" s="26" t="n">
        <x:v>0.04182121544616375</x:v>
      </x:c>
      <x:c r="M36" s="26" t="n">
        <x:v>0.008938378529340594</x:v>
      </x:c>
      <x:c r="N36" s="26" t="n">
        <x:v>0.022843341426746818</x:v>
      </x:c>
      <x:c r="O36" s="26" t="n">
        <x:v>0.2114064728824682</x:v>
      </x:c>
      <x:c r="P36" s="26" t="n">
        <x:v>0.001683954501729606</x:v>
      </x:c>
      <x:c r="Q36" s="26" t="n">
        <x:v>0.004693908863238537</x:v>
      </x:c>
      <x:c r="R36" s="26" t="n">
        <x:v>0.022924810219445358</x:v>
      </x:c>
      <x:c r="S36" s="26" t="n">
        <x:v>0.1334642083824384</x:v>
      </x:c>
      <x:c r="T36" s="26" t="n">
        <x:v>0.003770789420625881</x:v>
      </x:c>
      <x:c r="U36" s="26" t="n">
        <x:v>0.009828765298895755</x:v>
      </x:c>
      <x:c r="V36" s="26" t="n">
        <x:v>0.00214304657140854</x:v>
      </x:c>
      <x:c r="W36" s="26" t="n">
        <x:v>0.1326634917183434</x:v>
      </x:c>
      <x:c r="X36" s="26" t="n">
        <x:v>0.04098018170915648</x:v>
      </x:c>
      <x:c r="Y36" s="26" t="n">
        <x:v>0.01934744113961378</x:v>
      </x:c>
      <x:c r="Z36" s="26" t="n">
        <x:v>0.03765081161787805</x:v>
      </x:c>
      <x:c r="AA36" s="26" t="n">
        <x:v>0.004974386501887536</x:v>
      </x:c>
      <x:c r="AB36" s="26" t="n">
        <x:v>0.0708951594981145</x:v>
      </x:c>
      <x:c r="AC36" s="26" t="n">
        <x:v>0.0011437202403028186</x:v>
      </x:c>
      <x:c r="AD36" s="26" t="n">
        <x:v>0.022305030482029618</x:v>
      </x:c>
      <x:c r="AE36" s="26" t="n">
        <x:v>0.02582607904236537</x:v>
      </x:c>
      <x:c r="AF36" s="26" t="n">
        <x:v>0.06569944641864639</x:v>
      </x:c>
      <x:c r="AG36" s="26" t="n">
        <x:v>0</x:v>
      </x:c>
      <x:c r="AH36" s="26" t="n">
        <x:v>0.008494636704343835</x:v>
      </x:c>
      <x:c r="AI36" s="26" t="n">
        <x:v>0.0037186058465053917</x:v>
      </x:c>
      <x:c r="AJ36" s="26" t="n">
        <x:v>0.0029006519100131644</x:v>
      </x:c>
      <x:c r="AK36" s="26" t="n">
        <x:f>SUM(B36:AJ36)</x:f>
        <x:v>1</x:v>
      </x:c>
    </x:row>
    <x:row r="37">
      <x:c r="A37" t="str">
        <x:v>ZA</x:v>
      </x:c>
      <x:c r="B37" s="26" t="n">
        <x:v>0.007465044707766606</x:v>
      </x:c>
      <x:c r="C37" s="26" t="n">
        <x:v>0.025422928416447898</x:v>
      </x:c>
      <x:c r="D37" s="26" t="n">
        <x:v>0.12881755239929266</x:v>
      </x:c>
      <x:c r="E37" s="26" t="n">
        <x:v>0.026634332818945693</x:v>
      </x:c>
      <x:c r="F37" s="26" t="n">
        <x:v>0.006488562931311969</x:v>
      </x:c>
      <x:c r="G37" s="26" t="n">
        <x:v>0.03493060544896263</x:v>
      </x:c>
      <x:c r="H37" s="26" t="n">
        <x:v>0.0011015880291711788</x:v>
      </x:c>
      <x:c r="I37" s="26" t="n">
        <x:v>0.033868277370516627</x:v>
      </x:c>
      <x:c r="J37" s="26" t="n">
        <x:v>0.03651414321807048</x:v>
      </x:c>
      <x:c r="K37" s="26" t="n">
        <x:v>0.00285538497606895</x:v>
      </x:c>
      <x:c r="L37" s="26" t="n">
        <x:v>0.02393240408029544</x:v>
      </x:c>
      <x:c r="M37" s="26" t="n">
        <x:v>0.012430034865703099</x:v>
      </x:c>
      <x:c r="N37" s="26" t="n">
        <x:v>0.02189399239933725</x:v>
      </x:c>
      <x:c r="O37" s="26" t="n">
        <x:v>0.09188118553265241</x:v>
      </x:c>
      <x:c r="P37" s="26" t="n">
        <x:v>0.0025473576141927037</x:v>
      </x:c>
      <x:c r="Q37" s="26" t="n">
        <x:v>0.01327352654538076</x:v>
      </x:c>
      <x:c r="R37" s="26" t="n">
        <x:v>0.08170322248542405</x:v>
      </x:c>
      <x:c r="S37" s="26" t="n">
        <x:v>0.1178332074838226</x:v>
      </x:c>
      <x:c r="T37" s="26" t="n">
        <x:v>0.009635968676770837</x:v>
      </x:c>
      <x:c r="U37" s="26" t="n">
        <x:v>0.01809636860586402</x:v>
      </x:c>
      <x:c r="V37" s="26" t="n">
        <x:v>0.001566894098313606</x:v>
      </x:c>
      <x:c r="W37" s="26" t="n">
        <x:v>0.12332824679394325</x:v>
      </x:c>
      <x:c r="X37" s="26" t="n">
        <x:v>0.00894919826083993</x:v>
      </x:c>
      <x:c r="Y37" s="26" t="n">
        <x:v>0.038919750908752396</x:v>
      </x:c>
      <x:c r="Z37" s="26" t="n">
        <x:v>0.027030675161256467</x:v>
      </x:c>
      <x:c r="AA37" s="26" t="n">
        <x:v>0.004962919653435772</x:v>
      </x:c>
      <x:c r="AB37" s="26" t="n">
        <x:v>0.01380190336700664</x:v>
      </x:c>
      <x:c r="AC37" s="26" t="n">
        <x:v>0.0005341901611855901</x:v>
      </x:c>
      <x:c r="AD37" s="26" t="n">
        <x:v>0.0017639105650359003</x:v>
      </x:c>
      <x:c r="AE37" s="26" t="n">
        <x:v>0.04102585215992641</x:v>
      </x:c>
      <x:c r="AF37" s="26" t="n">
        <x:v>0.011948005490977937</x:v>
      </x:c>
      <x:c r="AG37" s="26" t="n">
        <x:v>0.017522281415645338</x:v>
      </x:c>
      <x:c r="AH37" s="26" t="n">
        <x:v>0</x:v>
      </x:c>
      <x:c r="AI37" s="26" t="n">
        <x:v>0.007473326725769483</x:v>
      </x:c>
      <x:c r="AJ37" s="26" t="n">
        <x:v>0.003847156631913514</x:v>
      </x:c>
      <x:c r="AK37" s="26" t="n">
        <x:f>SUM(B37:AJ37)</x:f>
        <x:v>1.0000000000000002</x:v>
      </x:c>
    </x:row>
    <x:row r="38">
      <x:c r="A38" t="str">
        <x:v>TR</x:v>
      </x:c>
      <x:c r="B38" s="26" t="n">
        <x:v>0.01357934182076979</x:v>
      </x:c>
      <x:c r="C38" s="26" t="n">
        <x:v>0.029455692628442706</x:v>
      </x:c>
      <x:c r="D38" s="26" t="n">
        <x:v>0.17969508354908392</x:v>
      </x:c>
      <x:c r="E38" s="26" t="n">
        <x:v>0.04800198854140804</x:v>
      </x:c>
      <x:c r="F38" s="26" t="n">
        <x:v>0.008630887886897252</x:v>
      </x:c>
      <x:c r="G38" s="26" t="n">
        <x:v>0.08204594604564192</x:v>
      </x:c>
      <x:c r="H38" s="26" t="n">
        <x:v>0.018294344061657874</x:v>
      </x:c>
      <x:c r="I38" s="26" t="n">
        <x:v>0.1013075438118155</x:v>
      </x:c>
      <x:c r="J38" s="26" t="n">
        <x:v>0.034885771110852164</x:v>
      </x:c>
      <x:c r="K38" s="26" t="n">
        <x:v>0.005612090710788492</x:v>
      </x:c>
      <x:c r="L38" s="26" t="n">
        <x:v>0.005393416583293747</x:v>
      </x:c>
      <x:c r="M38" s="26" t="n">
        <x:v>0.008286153229366204</x:v>
      </x:c>
      <x:c r="N38" s="26" t="n">
        <x:v>0.03468982736080915</x:v>
      </x:c>
      <x:c r="O38" s="26" t="n">
        <x:v>0.023392604155609346</x:v>
      </x:c>
      <x:c r="P38" s="26" t="n">
        <x:v>0.006100483609931382</x:v>
      </x:c>
      <x:c r="Q38" s="26" t="n">
        <x:v>0.01686458639906714</x:v>
      </x:c>
      <x:c r="R38" s="26" t="n">
        <x:v>0.07622194955796467</x:v>
      </x:c>
      <x:c r="S38" s="26" t="n">
        <x:v>0.09094012277111164</x:v>
      </x:c>
      <x:c r="T38" s="26" t="n">
        <x:v>0.0029198664514180767</x:v>
      </x:c>
      <x:c r="U38" s="26" t="n">
        <x:v>0.009343820817393397</x:v>
      </x:c>
      <x:c r="V38" s="26" t="n">
        <x:v>0.0025049101563500275</x:v>
      </x:c>
      <x:c r="W38" s="26" t="n">
        <x:v>0.08135783040070102</x:v>
      </x:c>
      <x:c r="X38" s="26" t="n">
        <x:v>0.008272729333997685</x:v>
      </x:c>
      <x:c r="Y38" s="26" t="n">
        <x:v>0.018657184057059906</x:v>
      </x:c>
      <x:c r="Z38" s="26" t="n">
        <x:v>0.025770269320567023</x:v>
      </x:c>
      <x:c r="AA38" s="26" t="n">
        <x:v>0.003177458594897183</x:v>
      </x:c>
      <x:c r="AB38" s="26" t="n">
        <x:v>0.007319350748224239</x:v>
      </x:c>
      <x:c r="AC38" s="26" t="n">
        <x:v>0.0009232594255768525</x:v>
      </x:c>
      <x:c r="AD38" s="26" t="n">
        <x:v>0.001190214454060892</x:v>
      </x:c>
      <x:c r="AE38" s="26" t="n">
        <x:v>0.024165888212342113</x:v>
      </x:c>
      <x:c r="AF38" s="26" t="n">
        <x:v>0.004115890406415764</x:v>
      </x:c>
      <x:c r="AG38" s="26" t="n">
        <x:v>0.006911106400840449</x:v>
      </x:c>
      <x:c r="AH38" s="26" t="n">
        <x:v>0.011110134713866286</x:v>
      </x:c>
      <x:c r="AI38" s="26" t="n">
        <x:v>0</x:v>
      </x:c>
      <x:c r="AJ38" s="26" t="n">
        <x:v>0.0088622526717782</x:v>
      </x:c>
      <x:c r="AK38" s="26" t="n">
        <x:f>SUM(B38:AJ38)</x:f>
        <x:v>1</x:v>
      </x:c>
    </x:row>
    <x:row r="39">
      <x:c r="A39" t="str">
        <x:v>DK</x:v>
      </x:c>
      <x:c r="B39" s="26" t="n">
        <x:v>0.010842902186091876</x:v>
      </x:c>
      <x:c r="C39" s="26" t="n">
        <x:v>0.02850671932926353</x:v>
      </x:c>
      <x:c r="D39" s="26" t="n">
        <x:v>0.22680489559194414</x:v>
      </x:c>
      <x:c r="E39" s="26" t="n">
        <x:v>0.02567167224348833</x:v>
      </x:c>
      <x:c r="F39" s="26" t="n">
        <x:v>0.028635340792052367</x:v>
      </x:c>
      <x:c r="G39" s="26" t="n">
        <x:v>0.052230149967358204</x:v>
      </x:c>
      <x:c r="H39" s="26" t="n">
        <x:v>0.005452195546332697</x:v>
      </x:c>
      <x:c r="I39" s="26" t="n">
        <x:v>0.04160794135678282</x:v>
      </x:c>
      <x:c r="J39" s="26" t="n">
        <x:v>0.06844381789780822</x:v>
      </x:c>
      <x:c r="K39" s="26" t="n">
        <x:v>0.006157436755380898</x:v>
      </x:c>
      <x:c r="L39" s="26" t="n">
        <x:v>0.005797963147720326</x:v>
      </x:c>
      <x:c r="M39" s="26" t="n">
        <x:v>0.007730993773603221</x:v>
      </x:c>
      <x:c r="N39" s="26" t="n">
        <x:v>0.011825972204649272</x:v>
      </x:c>
      <x:c r="O39" s="26" t="n">
        <x:v>0.01881200422553486</x:v>
      </x:c>
      <x:c r="P39" s="26" t="n">
        <x:v>0.06732777274388119</x:v>
      </x:c>
      <x:c r="Q39" s="26" t="n">
        <x:v>0.15555027142729835</x:v>
      </x:c>
      <x:c r="R39" s="26" t="n">
        <x:v>0.08908199964934124</x:v>
      </x:c>
      <x:c r="S39" s="26" t="n">
        <x:v>0.0548655731029463</x:v>
      </x:c>
      <x:c r="T39" s="26" t="n">
        <x:v>0.0037036316401703588</x:v>
      </x:c>
      <x:c r="U39" s="26" t="n">
        <x:v>0.0049284111105294265</x:v>
      </x:c>
      <x:c r="V39" s="26" t="n">
        <x:v>0.001708897111537114</x:v>
      </x:c>
      <x:c r="W39" s="26" t="n">
        <x:v>0.03848082196478341</x:v>
      </x:c>
      <x:c r="X39" s="26" t="n">
        <x:v>0.0020785292885529263</x:v>
      </x:c>
      <x:c r="Y39" s="26" t="n">
        <x:v>0.006007261925864803</x:v>
      </x:c>
      <x:c r="Z39" s="26" t="n">
        <x:v>0.007754482105921952</x:v>
      </x:c>
      <x:c r="AA39" s="26" t="n">
        <x:v>0.002371730324705501</x:v>
      </x:c>
      <x:c r="AB39" s="26" t="n">
        <x:v>0.002748188630335681</x:v>
      </x:c>
      <x:c r="AC39" s="26" t="n">
        <x:v>0.0007281383018806469</x:v>
      </x:c>
      <x:c r="AD39" s="26" t="n">
        <x:v>0.0010825594993857024</x:v>
      </x:c>
      <x:c r="AE39" s="26" t="n">
        <x:v>0.002870198960686982</x:v>
      </x:c>
      <x:c r="AF39" s="26" t="n">
        <x:v>0.00491862878448364</x:v>
      </x:c>
      <x:c r="AG39" s="26" t="n">
        <x:v>0.00424456202107586</x:v>
      </x:c>
      <x:c r="AH39" s="26" t="n">
        <x:v>0.002760228416238188</x:v>
      </x:c>
      <x:c r="AI39" s="26" t="n">
        <x:v>0.008268107972369982</x:v>
      </x:c>
      <x:c r="AJ39" s="26" t="n">
        <x:v>0</x:v>
      </x:c>
      <x:c r="AK39" s="26" t="n">
        <x:f>SUM(B39:AJ39)</x:f>
        <x:v>1.0000000000000002</x:v>
      </x:c>
    </x:row>
  </x:sheetData>
  <x:mergeCells>
    <x:mergeCell ref="A1:AK1"/>
    <x:mergeCell ref="A2:AK2"/>
  </x:mergeCells>
  <x:conditionalFormatting sqref="B5:AJ39">
    <x:cfRule type="colorScale" priority="1">
      <x:colorScale>
        <x:cfvo type="min"/>
        <x:cfvo type="percentile" val="50"/>
        <x:cfvo type="max"/>
        <x:color rgb="FFFFFFFF"/>
        <x:color rgb="FFFFF2CC"/>
        <x:color rgb="FFF4B183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2" hidden="0" customWidth="1"/>
  </x:cols>
  <x:sheetData>
    <x:row r="1" ht="26" customHeight="1">
      <x:c r="A1" s="4" t="str">
        <x:v>Selected 13 non-EA economies — formula-linked re-normalization of the author's W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>
      <x:c r="A2" s="30" t="str">
        <x:v>Diagnostic only: EA is excluded. This is NOT the final 14×14 matrix. UK is display code; paper source code is GB.</x:v>
      </x:c>
    </x:row>
    <x:row r="4">
      <x:c r="A4" s="12" t="str">
        <x:v>Reporter</x:v>
      </x:c>
      <x:c r="B4" s="12" t="str">
        <x:v>AU</x:v>
      </x:c>
      <x:c r="C4" s="12" t="str">
        <x:v>BR</x:v>
      </x:c>
      <x:c r="D4" s="12" t="str">
        <x:v>CA</x:v>
      </x:c>
      <x:c r="E4" s="12" t="str">
        <x:v>CH</x:v>
      </x:c>
      <x:c r="F4" s="12" t="str">
        <x:v>CN</x:v>
      </x:c>
      <x:c r="G4" s="12" t="str">
        <x:v>UK</x:v>
      </x:c>
      <x:c r="H4" s="12" t="str">
        <x:v>JP</x:v>
      </x:c>
      <x:c r="I4" s="12" t="str">
        <x:v>KR</x:v>
      </x:c>
      <x:c r="J4" s="12" t="str">
        <x:v>NO</x:v>
      </x:c>
      <x:c r="K4" s="12" t="str">
        <x:v>SG</x:v>
      </x:c>
      <x:c r="L4" s="12" t="str">
        <x:v>TR</x:v>
      </x:c>
      <x:c r="M4" s="12" t="str">
        <x:v>US</x:v>
      </x:c>
      <x:c r="N4" s="12" t="str">
        <x:v>ZA</x:v>
      </x:c>
      <x:c r="O4" s="12" t="str">
        <x:v>Row_Sum</x:v>
      </x:c>
    </x:row>
    <x:row r="5">
      <x:c r="A5" t="str">
        <x:v>AU</x:v>
      </x:c>
      <x:c r="B5" s="26" t="n">
        <x:f>'Paper_W_35x35'!L15/SUM('Paper_W_35x35'!L15,'Paper_W_35x35'!U15,'Paper_W_35x35'!M15,'Paper_W_35x35'!N15,'Paper_W_35x35'!W15,'Paper_W_35x35'!R15,'Paper_W_35x35'!O15,'Paper_W_35x35'!Z15,'Paper_W_35x35'!P15,'Paper_W_35x35'!AF15,'Paper_W_35x35'!AI15,'Paper_W_35x35'!S15,'Paper_W_35x35'!AH15)</x:f>
        <x:v>0</x:v>
      </x:c>
      <x:c r="C5" s="26" t="n">
        <x:f>'Paper_W_35x35'!U15/SUM('Paper_W_35x35'!L15,'Paper_W_35x35'!U15,'Paper_W_35x35'!M15,'Paper_W_35x35'!N15,'Paper_W_35x35'!W15,'Paper_W_35x35'!R15,'Paper_W_35x35'!O15,'Paper_W_35x35'!Z15,'Paper_W_35x35'!P15,'Paper_W_35x35'!AF15,'Paper_W_35x35'!AI15,'Paper_W_35x35'!S15,'Paper_W_35x35'!AH15)</x:f>
        <x:v>0.007961515356994752</x:v>
      </x:c>
      <x:c r="D5" s="26" t="n">
        <x:f>'Paper_W_35x35'!M15/SUM('Paper_W_35x35'!L15,'Paper_W_35x35'!U15,'Paper_W_35x35'!M15,'Paper_W_35x35'!N15,'Paper_W_35x35'!W15,'Paper_W_35x35'!R15,'Paper_W_35x35'!O15,'Paper_W_35x35'!Z15,'Paper_W_35x35'!P15,'Paper_W_35x35'!AF15,'Paper_W_35x35'!AI15,'Paper_W_35x35'!S15,'Paper_W_35x35'!AH15)</x:f>
        <x:v>0.017518762441516136</x:v>
      </x:c>
      <x:c r="E5" s="26" t="n">
        <x:f>'Paper_W_35x35'!N15/SUM('Paper_W_35x35'!L15,'Paper_W_35x35'!U15,'Paper_W_35x35'!M15,'Paper_W_35x35'!N15,'Paper_W_35x35'!W15,'Paper_W_35x35'!R15,'Paper_W_35x35'!O15,'Paper_W_35x35'!Z15,'Paper_W_35x35'!P15,'Paper_W_35x35'!AF15,'Paper_W_35x35'!AI15,'Paper_W_35x35'!S15,'Paper_W_35x35'!AH15)</x:f>
        <x:v>0.012325227550676197</x:v>
      </x:c>
      <x:c r="F5" s="26" t="n">
        <x:f>'Paper_W_35x35'!W15/SUM('Paper_W_35x35'!L15,'Paper_W_35x35'!U15,'Paper_W_35x35'!M15,'Paper_W_35x35'!N15,'Paper_W_35x35'!W15,'Paper_W_35x35'!R15,'Paper_W_35x35'!O15,'Paper_W_35x35'!Z15,'Paper_W_35x35'!P15,'Paper_W_35x35'!AF15,'Paper_W_35x35'!AI15,'Paper_W_35x35'!S15,'Paper_W_35x35'!AH15)</x:f>
        <x:v>0.2885047533921497</x:v>
      </x:c>
      <x:c r="G5" s="26" t="n">
        <x:f>'Paper_W_35x35'!R15/SUM('Paper_W_35x35'!L15,'Paper_W_35x35'!U15,'Paper_W_35x35'!M15,'Paper_W_35x35'!N15,'Paper_W_35x35'!W15,'Paper_W_35x35'!R15,'Paper_W_35x35'!O15,'Paper_W_35x35'!Z15,'Paper_W_35x35'!P15,'Paper_W_35x35'!AF15,'Paper_W_35x35'!AI15,'Paper_W_35x35'!S15,'Paper_W_35x35'!AH15)</x:f>
        <x:v>0.06536732907423912</x:v>
      </x:c>
      <x:c r="H5" s="26" t="n">
        <x:f>'Paper_W_35x35'!O15/SUM('Paper_W_35x35'!L15,'Paper_W_35x35'!U15,'Paper_W_35x35'!M15,'Paper_W_35x35'!N15,'Paper_W_35x35'!W15,'Paper_W_35x35'!R15,'Paper_W_35x35'!O15,'Paper_W_35x35'!Z15,'Paper_W_35x35'!P15,'Paper_W_35x35'!AF15,'Paper_W_35x35'!AI15,'Paper_W_35x35'!S15,'Paper_W_35x35'!AH15)</x:f>
        <x:v>0.2475464229050406</x:v>
      </x:c>
      <x:c r="I5" s="26" t="n">
        <x:f>'Paper_W_35x35'!Z15/SUM('Paper_W_35x35'!L15,'Paper_W_35x35'!U15,'Paper_W_35x35'!M15,'Paper_W_35x35'!N15,'Paper_W_35x35'!W15,'Paper_W_35x35'!R15,'Paper_W_35x35'!O15,'Paper_W_35x35'!Z15,'Paper_W_35x35'!P15,'Paper_W_35x35'!AF15,'Paper_W_35x35'!AI15,'Paper_W_35x35'!S15,'Paper_W_35x35'!AH15)</x:f>
        <x:v>0.09811042365090512</x:v>
      </x:c>
      <x:c r="J5" s="26" t="n">
        <x:f>'Paper_W_35x35'!P15/SUM('Paper_W_35x35'!L15,'Paper_W_35x35'!U15,'Paper_W_35x35'!M15,'Paper_W_35x35'!N15,'Paper_W_35x35'!W15,'Paper_W_35x35'!R15,'Paper_W_35x35'!O15,'Paper_W_35x35'!Z15,'Paper_W_35x35'!P15,'Paper_W_35x35'!AF15,'Paper_W_35x35'!AI15,'Paper_W_35x35'!S15,'Paper_W_35x35'!AH15)</x:f>
        <x:v>0.002190647522809135</x:v>
      </x:c>
      <x:c r="K5" s="26" t="n">
        <x:f>'Paper_W_35x35'!AF15/SUM('Paper_W_35x35'!L15,'Paper_W_35x35'!U15,'Paper_W_35x35'!M15,'Paper_W_35x35'!N15,'Paper_W_35x35'!W15,'Paper_W_35x35'!R15,'Paper_W_35x35'!O15,'Paper_W_35x35'!Z15,'Paper_W_35x35'!P15,'Paper_W_35x35'!AF15,'Paper_W_35x35'!AI15,'Paper_W_35x35'!S15,'Paper_W_35x35'!AH15)</x:f>
        <x:v>0.0729505933289429</x:v>
      </x:c>
      <x:c r="L5" s="26" t="n">
        <x:f>'Paper_W_35x35'!AI15/SUM('Paper_W_35x35'!L15,'Paper_W_35x35'!U15,'Paper_W_35x35'!M15,'Paper_W_35x35'!N15,'Paper_W_35x35'!W15,'Paper_W_35x35'!R15,'Paper_W_35x35'!O15,'Paper_W_35x35'!Z15,'Paper_W_35x35'!P15,'Paper_W_35x35'!AF15,'Paper_W_35x35'!AI15,'Paper_W_35x35'!S15,'Paper_W_35x35'!AH15)</x:f>
        <x:v>0.003984757777313004</x:v>
      </x:c>
      <x:c r="M5" s="26" t="n">
        <x:f>'Paper_W_35x35'!S15/SUM('Paper_W_35x35'!L15,'Paper_W_35x35'!U15,'Paper_W_35x35'!M15,'Paper_W_35x35'!N15,'Paper_W_35x35'!W15,'Paper_W_35x35'!R15,'Paper_W_35x35'!O15,'Paper_W_35x35'!Z15,'Paper_W_35x35'!P15,'Paper_W_35x35'!AF15,'Paper_W_35x35'!AI15,'Paper_W_35x35'!S15,'Paper_W_35x35'!AH15)</x:f>
        <x:v>0.16978564481461036</x:v>
      </x:c>
      <x:c r="N5" s="26" t="n">
        <x:f>'Paper_W_35x35'!AH15/SUM('Paper_W_35x35'!L15,'Paper_W_35x35'!U15,'Paper_W_35x35'!M15,'Paper_W_35x35'!N15,'Paper_W_35x35'!W15,'Paper_W_35x35'!R15,'Paper_W_35x35'!O15,'Paper_W_35x35'!Z15,'Paper_W_35x35'!P15,'Paper_W_35x35'!AF15,'Paper_W_35x35'!AI15,'Paper_W_35x35'!S15,'Paper_W_35x35'!AH15)</x:f>
        <x:v>0.013753922184802984</x:v>
      </x:c>
      <x:c r="O5" s="26" t="n">
        <x:f>SUM(B5:N5)</x:f>
        <x:v>1.0000000000000002</x:v>
      </x:c>
    </x:row>
    <x:row r="6">
      <x:c r="A6" t="str">
        <x:v>BR</x:v>
      </x:c>
      <x:c r="B6" s="26" t="n">
        <x:f>'Paper_W_35x35'!L24/SUM('Paper_W_35x35'!L24,'Paper_W_35x35'!U24,'Paper_W_35x35'!M24,'Paper_W_35x35'!N24,'Paper_W_35x35'!W24,'Paper_W_35x35'!R24,'Paper_W_35x35'!O24,'Paper_W_35x35'!Z24,'Paper_W_35x35'!P24,'Paper_W_35x35'!AF24,'Paper_W_35x35'!AI24,'Paper_W_35x35'!S24,'Paper_W_35x35'!AH24)</x:f>
        <x:v>0.013110471542503443</x:v>
      </x:c>
      <x:c r="C6" s="26" t="n">
        <x:f>'Paper_W_35x35'!U24/SUM('Paper_W_35x35'!L24,'Paper_W_35x35'!U24,'Paper_W_35x35'!M24,'Paper_W_35x35'!N24,'Paper_W_35x35'!W24,'Paper_W_35x35'!R24,'Paper_W_35x35'!O24,'Paper_W_35x35'!Z24,'Paper_W_35x35'!P24,'Paper_W_35x35'!AF24,'Paper_W_35x35'!AI24,'Paper_W_35x35'!S24,'Paper_W_35x35'!AH24)</x:f>
        <x:v>0</x:v>
      </x:c>
      <x:c r="D6" s="26" t="n">
        <x:f>'Paper_W_35x35'!M24/SUM('Paper_W_35x35'!L24,'Paper_W_35x35'!U24,'Paper_W_35x35'!M24,'Paper_W_35x35'!N24,'Paper_W_35x35'!W24,'Paper_W_35x35'!R24,'Paper_W_35x35'!O24,'Paper_W_35x35'!Z24,'Paper_W_35x35'!P24,'Paper_W_35x35'!AF24,'Paper_W_35x35'!AI24,'Paper_W_35x35'!S24,'Paper_W_35x35'!AH24)</x:f>
        <x:v>0.034752878058734504</x:v>
      </x:c>
      <x:c r="E6" s="26" t="n">
        <x:f>'Paper_W_35x35'!N24/SUM('Paper_W_35x35'!L24,'Paper_W_35x35'!U24,'Paper_W_35x35'!M24,'Paper_W_35x35'!N24,'Paper_W_35x35'!W24,'Paper_W_35x35'!R24,'Paper_W_35x35'!O24,'Paper_W_35x35'!Z24,'Paper_W_35x35'!P24,'Paper_W_35x35'!AF24,'Paper_W_35x35'!AI24,'Paper_W_35x35'!S24,'Paper_W_35x35'!AH24)</x:f>
        <x:v>0.027743366719381476</x:v>
      </x:c>
      <x:c r="F6" s="26" t="n">
        <x:f>'Paper_W_35x35'!W24/SUM('Paper_W_35x35'!L24,'Paper_W_35x35'!U24,'Paper_W_35x35'!M24,'Paper_W_35x35'!N24,'Paper_W_35x35'!W24,'Paper_W_35x35'!R24,'Paper_W_35x35'!O24,'Paper_W_35x35'!Z24,'Paper_W_35x35'!P24,'Paper_W_35x35'!AF24,'Paper_W_35x35'!AI24,'Paper_W_35x35'!S24,'Paper_W_35x35'!AH24)</x:f>
        <x:v>0.266077025977633</x:v>
      </x:c>
      <x:c r="G6" s="26" t="n">
        <x:f>'Paper_W_35x35'!R24/SUM('Paper_W_35x35'!L24,'Paper_W_35x35'!U24,'Paper_W_35x35'!M24,'Paper_W_35x35'!N24,'Paper_W_35x35'!W24,'Paper_W_35x35'!R24,'Paper_W_35x35'!O24,'Paper_W_35x35'!Z24,'Paper_W_35x35'!P24,'Paper_W_35x35'!AF24,'Paper_W_35x35'!AI24,'Paper_W_35x35'!S24,'Paper_W_35x35'!AH24)</x:f>
        <x:v>0.05026910061727345</x:v>
      </x:c>
      <x:c r="H6" s="26" t="n">
        <x:f>'Paper_W_35x35'!O24/SUM('Paper_W_35x35'!L24,'Paper_W_35x35'!U24,'Paper_W_35x35'!M24,'Paper_W_35x35'!N24,'Paper_W_35x35'!W24,'Paper_W_35x35'!R24,'Paper_W_35x35'!O24,'Paper_W_35x35'!Z24,'Paper_W_35x35'!P24,'Paper_W_35x35'!AF24,'Paper_W_35x35'!AI24,'Paper_W_35x35'!S24,'Paper_W_35x35'!AH24)</x:f>
        <x:v>0.09198175103870854</x:v>
      </x:c>
      <x:c r="I6" s="26" t="n">
        <x:f>'Paper_W_35x35'!Z24/SUM('Paper_W_35x35'!L24,'Paper_W_35x35'!U24,'Paper_W_35x35'!M24,'Paper_W_35x35'!N24,'Paper_W_35x35'!W24,'Paper_W_35x35'!R24,'Paper_W_35x35'!O24,'Paper_W_35x35'!Z24,'Paper_W_35x35'!P24,'Paper_W_35x35'!AF24,'Paper_W_35x35'!AI24,'Paper_W_35x35'!S24,'Paper_W_35x35'!AH24)</x:f>
        <x:v>0.06375126827305139</x:v>
      </x:c>
      <x:c r="J6" s="26" t="n">
        <x:f>'Paper_W_35x35'!P24/SUM('Paper_W_35x35'!L24,'Paper_W_35x35'!U24,'Paper_W_35x35'!M24,'Paper_W_35x35'!N24,'Paper_W_35x35'!W24,'Paper_W_35x35'!R24,'Paper_W_35x35'!O24,'Paper_W_35x35'!Z24,'Paper_W_35x35'!P24,'Paper_W_35x35'!AF24,'Paper_W_35x35'!AI24,'Paper_W_35x35'!S24,'Paper_W_35x35'!AH24)</x:f>
        <x:v>0.009791351369734894</x:v>
      </x:c>
      <x:c r="K6" s="26" t="n">
        <x:f>'Paper_W_35x35'!AF24/SUM('Paper_W_35x35'!L24,'Paper_W_35x35'!U24,'Paper_W_35x35'!M24,'Paper_W_35x35'!N24,'Paper_W_35x35'!W24,'Paper_W_35x35'!R24,'Paper_W_35x35'!O24,'Paper_W_35x35'!Z24,'Paper_W_35x35'!P24,'Paper_W_35x35'!AF24,'Paper_W_35x35'!AI24,'Paper_W_35x35'!S24,'Paper_W_35x35'!AH24)</x:f>
        <x:v>0.018984134541806245</x:v>
      </x:c>
      <x:c r="L6" s="26" t="n">
        <x:f>'Paper_W_35x35'!AI24/SUM('Paper_W_35x35'!L24,'Paper_W_35x35'!U24,'Paper_W_35x35'!M24,'Paper_W_35x35'!N24,'Paper_W_35x35'!W24,'Paper_W_35x35'!R24,'Paper_W_35x35'!O24,'Paper_W_35x35'!Z24,'Paper_W_35x35'!P24,'Paper_W_35x35'!AF24,'Paper_W_35x35'!AI24,'Paper_W_35x35'!S24,'Paper_W_35x35'!AH24)</x:f>
        <x:v>0.009318547678564342</x:v>
      </x:c>
      <x:c r="M6" s="26" t="n">
        <x:f>'Paper_W_35x35'!S24/SUM('Paper_W_35x35'!L24,'Paper_W_35x35'!U24,'Paper_W_35x35'!M24,'Paper_W_35x35'!N24,'Paper_W_35x35'!W24,'Paper_W_35x35'!R24,'Paper_W_35x35'!O24,'Paper_W_35x35'!Z24,'Paper_W_35x35'!P24,'Paper_W_35x35'!AF24,'Paper_W_35x35'!AI24,'Paper_W_35x35'!S24,'Paper_W_35x35'!AH24)</x:f>
        <x:v>0.3982302985472251</x:v>
      </x:c>
      <x:c r="N6" s="26" t="n">
        <x:f>'Paper_W_35x35'!AH24/SUM('Paper_W_35x35'!L24,'Paper_W_35x35'!U24,'Paper_W_35x35'!M24,'Paper_W_35x35'!N24,'Paper_W_35x35'!W24,'Paper_W_35x35'!R24,'Paper_W_35x35'!O24,'Paper_W_35x35'!Z24,'Paper_W_35x35'!P24,'Paper_W_35x35'!AF24,'Paper_W_35x35'!AI24,'Paper_W_35x35'!S24,'Paper_W_35x35'!AH24)</x:f>
        <x:v>0.015989805635383544</x:v>
      </x:c>
      <x:c r="O6" s="26" t="n">
        <x:f>SUM(B6:N6)</x:f>
        <x:v>0.9999999999999998</x:v>
      </x:c>
    </x:row>
    <x:row r="7">
      <x:c r="A7" t="str">
        <x:v>CA</x:v>
      </x:c>
      <x:c r="B7" s="26" t="n">
        <x:f>'Paper_W_35x35'!L16/SUM('Paper_W_35x35'!L16,'Paper_W_35x35'!U16,'Paper_W_35x35'!M16,'Paper_W_35x35'!N16,'Paper_W_35x35'!W16,'Paper_W_35x35'!R16,'Paper_W_35x35'!O16,'Paper_W_35x35'!Z16,'Paper_W_35x35'!P16,'Paper_W_35x35'!AF16,'Paper_W_35x35'!AI16,'Paper_W_35x35'!S16,'Paper_W_35x35'!AH16)</x:f>
        <x:v>0.0049599851331754785</x:v>
      </x:c>
      <x:c r="C7" s="26" t="n">
        <x:f>'Paper_W_35x35'!U16/SUM('Paper_W_35x35'!L16,'Paper_W_35x35'!U16,'Paper_W_35x35'!M16,'Paper_W_35x35'!N16,'Paper_W_35x35'!W16,'Paper_W_35x35'!R16,'Paper_W_35x35'!O16,'Paper_W_35x35'!Z16,'Paper_W_35x35'!P16,'Paper_W_35x35'!AF16,'Paper_W_35x35'!AI16,'Paper_W_35x35'!S16,'Paper_W_35x35'!AH16)</x:f>
        <x:v>0.006701730561926773</x:v>
      </x:c>
      <x:c r="D7" s="26" t="n">
        <x:f>'Paper_W_35x35'!M16/SUM('Paper_W_35x35'!L16,'Paper_W_35x35'!U16,'Paper_W_35x35'!M16,'Paper_W_35x35'!N16,'Paper_W_35x35'!W16,'Paper_W_35x35'!R16,'Paper_W_35x35'!O16,'Paper_W_35x35'!Z16,'Paper_W_35x35'!P16,'Paper_W_35x35'!AF16,'Paper_W_35x35'!AI16,'Paper_W_35x35'!S16,'Paper_W_35x35'!AH16)</x:f>
        <x:v>0</x:v>
      </x:c>
      <x:c r="E7" s="26" t="n">
        <x:f>'Paper_W_35x35'!N16/SUM('Paper_W_35x35'!L16,'Paper_W_35x35'!U16,'Paper_W_35x35'!M16,'Paper_W_35x35'!N16,'Paper_W_35x35'!W16,'Paper_W_35x35'!R16,'Paper_W_35x35'!O16,'Paper_W_35x35'!Z16,'Paper_W_35x35'!P16,'Paper_W_35x35'!AF16,'Paper_W_35x35'!AI16,'Paper_W_35x35'!S16,'Paper_W_35x35'!AH16)</x:f>
        <x:v>0.005041713102310249</x:v>
      </x:c>
      <x:c r="F7" s="26" t="n">
        <x:f>'Paper_W_35x35'!W16/SUM('Paper_W_35x35'!L16,'Paper_W_35x35'!U16,'Paper_W_35x35'!M16,'Paper_W_35x35'!N16,'Paper_W_35x35'!W16,'Paper_W_35x35'!R16,'Paper_W_35x35'!O16,'Paper_W_35x35'!Z16,'Paper_W_35x35'!P16,'Paper_W_35x35'!AF16,'Paper_W_35x35'!AI16,'Paper_W_35x35'!S16,'Paper_W_35x35'!AH16)</x:f>
        <x:v>0.06398738644402534</x:v>
      </x:c>
      <x:c r="G7" s="26" t="n">
        <x:f>'Paper_W_35x35'!R16/SUM('Paper_W_35x35'!L16,'Paper_W_35x35'!U16,'Paper_W_35x35'!M16,'Paper_W_35x35'!N16,'Paper_W_35x35'!W16,'Paper_W_35x35'!R16,'Paper_W_35x35'!O16,'Paper_W_35x35'!Z16,'Paper_W_35x35'!P16,'Paper_W_35x35'!AF16,'Paper_W_35x35'!AI16,'Paper_W_35x35'!S16,'Paper_W_35x35'!AH16)</x:f>
        <x:v>0.03191929727794551</x:v>
      </x:c>
      <x:c r="H7" s="26" t="n">
        <x:f>'Paper_W_35x35'!O16/SUM('Paper_W_35x35'!L16,'Paper_W_35x35'!U16,'Paper_W_35x35'!M16,'Paper_W_35x35'!N16,'Paper_W_35x35'!W16,'Paper_W_35x35'!R16,'Paper_W_35x35'!O16,'Paper_W_35x35'!Z16,'Paper_W_35x35'!P16,'Paper_W_35x35'!AF16,'Paper_W_35x35'!AI16,'Paper_W_35x35'!S16,'Paper_W_35x35'!AH16)</x:f>
        <x:v>0.03586923104552514</x:v>
      </x:c>
      <x:c r="I7" s="26" t="n">
        <x:f>'Paper_W_35x35'!Z16/SUM('Paper_W_35x35'!L16,'Paper_W_35x35'!U16,'Paper_W_35x35'!M16,'Paper_W_35x35'!N16,'Paper_W_35x35'!W16,'Paper_W_35x35'!R16,'Paper_W_35x35'!O16,'Paper_W_35x35'!Z16,'Paper_W_35x35'!P16,'Paper_W_35x35'!AF16,'Paper_W_35x35'!AI16,'Paper_W_35x35'!S16,'Paper_W_35x35'!AH16)</x:f>
        <x:v>0.01317569850366722</x:v>
      </x:c>
      <x:c r="J7" s="26" t="n">
        <x:f>'Paper_W_35x35'!P16/SUM('Paper_W_35x35'!L16,'Paper_W_35x35'!U16,'Paper_W_35x35'!M16,'Paper_W_35x35'!N16,'Paper_W_35x35'!W16,'Paper_W_35x35'!R16,'Paper_W_35x35'!O16,'Paper_W_35x35'!Z16,'Paper_W_35x35'!P16,'Paper_W_35x35'!AF16,'Paper_W_35x35'!AI16,'Paper_W_35x35'!S16,'Paper_W_35x35'!AH16)</x:f>
        <x:v>0.009572941686970381</x:v>
      </x:c>
      <x:c r="K7" s="26" t="n">
        <x:f>'Paper_W_35x35'!AF16/SUM('Paper_W_35x35'!L16,'Paper_W_35x35'!U16,'Paper_W_35x35'!M16,'Paper_W_35x35'!N16,'Paper_W_35x35'!W16,'Paper_W_35x35'!R16,'Paper_W_35x35'!O16,'Paper_W_35x35'!Z16,'Paper_W_35x35'!P16,'Paper_W_35x35'!AF16,'Paper_W_35x35'!AI16,'Paper_W_35x35'!S16,'Paper_W_35x35'!AH16)</x:f>
        <x:v>0.0029042856057448956</x:v>
      </x:c>
      <x:c r="L7" s="26" t="n">
        <x:f>'Paper_W_35x35'!AI16/SUM('Paper_W_35x35'!L16,'Paper_W_35x35'!U16,'Paper_W_35x35'!M16,'Paper_W_35x35'!N16,'Paper_W_35x35'!W16,'Paper_W_35x35'!R16,'Paper_W_35x35'!O16,'Paper_W_35x35'!Z16,'Paper_W_35x35'!P16,'Paper_W_35x35'!AF16,'Paper_W_35x35'!AI16,'Paper_W_35x35'!S16,'Paper_W_35x35'!AH16)</x:f>
        <x:v>0.001977989953147371</x:v>
      </x:c>
      <x:c r="M7" s="26" t="n">
        <x:f>'Paper_W_35x35'!S16/SUM('Paper_W_35x35'!L16,'Paper_W_35x35'!U16,'Paper_W_35x35'!M16,'Paper_W_35x35'!N16,'Paper_W_35x35'!W16,'Paper_W_35x35'!R16,'Paper_W_35x35'!O16,'Paper_W_35x35'!Z16,'Paper_W_35x35'!P16,'Paper_W_35x35'!AF16,'Paper_W_35x35'!AI16,'Paper_W_35x35'!S16,'Paper_W_35x35'!AH16)</x:f>
        <x:v>0.822065908723212</x:v>
      </x:c>
      <x:c r="N7" s="26" t="n">
        <x:f>'Paper_W_35x35'!AH16/SUM('Paper_W_35x35'!L16,'Paper_W_35x35'!U16,'Paper_W_35x35'!M16,'Paper_W_35x35'!N16,'Paper_W_35x35'!W16,'Paper_W_35x35'!R16,'Paper_W_35x35'!O16,'Paper_W_35x35'!Z16,'Paper_W_35x35'!P16,'Paper_W_35x35'!AF16,'Paper_W_35x35'!AI16,'Paper_W_35x35'!S16,'Paper_W_35x35'!AH16)</x:f>
        <x:v>0.0018238319623497421</x:v>
      </x:c>
      <x:c r="O7" s="26" t="n">
        <x:f>SUM(B7:N7)</x:f>
        <x:v>1</x:v>
      </x:c>
    </x:row>
    <x:row r="8">
      <x:c r="A8" t="str">
        <x:v>CH</x:v>
      </x:c>
      <x:c r="B8" s="26" t="n">
        <x:f>'Paper_W_35x35'!L17/SUM('Paper_W_35x35'!L17,'Paper_W_35x35'!U17,'Paper_W_35x35'!M17,'Paper_W_35x35'!N17,'Paper_W_35x35'!W17,'Paper_W_35x35'!R17,'Paper_W_35x35'!O17,'Paper_W_35x35'!Z17,'Paper_W_35x35'!P17,'Paper_W_35x35'!AF17,'Paper_W_35x35'!AI17,'Paper_W_35x35'!S17,'Paper_W_35x35'!AH17)</x:f>
        <x:v>0.024263269141691905</x:v>
      </x:c>
      <x:c r="C8" s="26" t="n">
        <x:f>'Paper_W_35x35'!U17/SUM('Paper_W_35x35'!L17,'Paper_W_35x35'!U17,'Paper_W_35x35'!M17,'Paper_W_35x35'!N17,'Paper_W_35x35'!W17,'Paper_W_35x35'!R17,'Paper_W_35x35'!O17,'Paper_W_35x35'!Z17,'Paper_W_35x35'!P17,'Paper_W_35x35'!AF17,'Paper_W_35x35'!AI17,'Paper_W_35x35'!S17,'Paper_W_35x35'!AH17)</x:f>
        <x:v>0.030542798272841985</x:v>
      </x:c>
      <x:c r="D8" s="26" t="n">
        <x:f>'Paper_W_35x35'!M17/SUM('Paper_W_35x35'!L17,'Paper_W_35x35'!U17,'Paper_W_35x35'!M17,'Paper_W_35x35'!N17,'Paper_W_35x35'!W17,'Paper_W_35x35'!R17,'Paper_W_35x35'!O17,'Paper_W_35x35'!Z17,'Paper_W_35x35'!P17,'Paper_W_35x35'!AF17,'Paper_W_35x35'!AI17,'Paper_W_35x35'!S17,'Paper_W_35x35'!AH17)</x:f>
        <x:v>0.037229945214377363</x:v>
      </x:c>
      <x:c r="E8" s="26" t="n">
        <x:f>'Paper_W_35x35'!N17/SUM('Paper_W_35x35'!L17,'Paper_W_35x35'!U17,'Paper_W_35x35'!M17,'Paper_W_35x35'!N17,'Paper_W_35x35'!W17,'Paper_W_35x35'!R17,'Paper_W_35x35'!O17,'Paper_W_35x35'!Z17,'Paper_W_35x35'!P17,'Paper_W_35x35'!AF17,'Paper_W_35x35'!AI17,'Paper_W_35x35'!S17,'Paper_W_35x35'!AH17)</x:f>
        <x:v>0</x:v>
      </x:c>
      <x:c r="F8" s="26" t="n">
        <x:f>'Paper_W_35x35'!W17/SUM('Paper_W_35x35'!L17,'Paper_W_35x35'!U17,'Paper_W_35x35'!M17,'Paper_W_35x35'!N17,'Paper_W_35x35'!W17,'Paper_W_35x35'!R17,'Paper_W_35x35'!O17,'Paper_W_35x35'!Z17,'Paper_W_35x35'!P17,'Paper_W_35x35'!AF17,'Paper_W_35x35'!AI17,'Paper_W_35x35'!S17,'Paper_W_35x35'!AH17)</x:f>
        <x:v>0.1145378361542516</x:v>
      </x:c>
      <x:c r="G8" s="26" t="n">
        <x:f>'Paper_W_35x35'!R17/SUM('Paper_W_35x35'!L17,'Paper_W_35x35'!U17,'Paper_W_35x35'!M17,'Paper_W_35x35'!N17,'Paper_W_35x35'!W17,'Paper_W_35x35'!R17,'Paper_W_35x35'!O17,'Paper_W_35x35'!Z17,'Paper_W_35x35'!P17,'Paper_W_35x35'!AF17,'Paper_W_35x35'!AI17,'Paper_W_35x35'!S17,'Paper_W_35x35'!AH17)</x:f>
        <x:v>0.19705754886249283</x:v>
      </x:c>
      <x:c r="H8" s="26" t="n">
        <x:f>'Paper_W_35x35'!O17/SUM('Paper_W_35x35'!L17,'Paper_W_35x35'!U17,'Paper_W_35x35'!M17,'Paper_W_35x35'!N17,'Paper_W_35x35'!W17,'Paper_W_35x35'!R17,'Paper_W_35x35'!O17,'Paper_W_35x35'!Z17,'Paper_W_35x35'!P17,'Paper_W_35x35'!AF17,'Paper_W_35x35'!AI17,'Paper_W_35x35'!S17,'Paper_W_35x35'!AH17)</x:f>
        <x:v>0.11970174046841972</x:v>
      </x:c>
      <x:c r="I8" s="26" t="n">
        <x:f>'Paper_W_35x35'!Z17/SUM('Paper_W_35x35'!L17,'Paper_W_35x35'!U17,'Paper_W_35x35'!M17,'Paper_W_35x35'!N17,'Paper_W_35x35'!W17,'Paper_W_35x35'!R17,'Paper_W_35x35'!O17,'Paper_W_35x35'!Z17,'Paper_W_35x35'!P17,'Paper_W_35x35'!AF17,'Paper_W_35x35'!AI17,'Paper_W_35x35'!S17,'Paper_W_35x35'!AH17)</x:f>
        <x:v>0.0278364204596881</x:v>
      </x:c>
      <x:c r="J8" s="26" t="n">
        <x:f>'Paper_W_35x35'!P17/SUM('Paper_W_35x35'!L17,'Paper_W_35x35'!U17,'Paper_W_35x35'!M17,'Paper_W_35x35'!N17,'Paper_W_35x35'!W17,'Paper_W_35x35'!R17,'Paper_W_35x35'!O17,'Paper_W_35x35'!Z17,'Paper_W_35x35'!P17,'Paper_W_35x35'!AF17,'Paper_W_35x35'!AI17,'Paper_W_35x35'!S17,'Paper_W_35x35'!AH17)</x:f>
        <x:v>0.012628698295735874</x:v>
      </x:c>
      <x:c r="K8" s="26" t="n">
        <x:f>'Paper_W_35x35'!AF17/SUM('Paper_W_35x35'!L17,'Paper_W_35x35'!U17,'Paper_W_35x35'!M17,'Paper_W_35x35'!N17,'Paper_W_35x35'!W17,'Paper_W_35x35'!R17,'Paper_W_35x35'!O17,'Paper_W_35x35'!Z17,'Paper_W_35x35'!P17,'Paper_W_35x35'!AF17,'Paper_W_35x35'!AI17,'Paper_W_35x35'!S17,'Paper_W_35x35'!AH17)</x:f>
        <x:v>0.032693120650825504</x:v>
      </x:c>
      <x:c r="L8" s="26" t="n">
        <x:f>'Paper_W_35x35'!AI17/SUM('Paper_W_35x35'!L17,'Paper_W_35x35'!U17,'Paper_W_35x35'!M17,'Paper_W_35x35'!N17,'Paper_W_35x35'!W17,'Paper_W_35x35'!R17,'Paper_W_35x35'!O17,'Paper_W_35x35'!Z17,'Paper_W_35x35'!P17,'Paper_W_35x35'!AF17,'Paper_W_35x35'!AI17,'Paper_W_35x35'!S17,'Paper_W_35x35'!AH17)</x:f>
        <x:v>0.032003428760056005</x:v>
      </x:c>
      <x:c r="M8" s="26" t="n">
        <x:f>'Paper_W_35x35'!S17/SUM('Paper_W_35x35'!L17,'Paper_W_35x35'!U17,'Paper_W_35x35'!M17,'Paper_W_35x35'!N17,'Paper_W_35x35'!W17,'Paper_W_35x35'!R17,'Paper_W_35x35'!O17,'Paper_W_35x35'!Z17,'Paper_W_35x35'!P17,'Paper_W_35x35'!AF17,'Paper_W_35x35'!AI17,'Paper_W_35x35'!S17,'Paper_W_35x35'!AH17)</x:f>
        <x:v>0.35155470842229114</x:v>
      </x:c>
      <x:c r="N8" s="26" t="n">
        <x:f>'Paper_W_35x35'!AH17/SUM('Paper_W_35x35'!L17,'Paper_W_35x35'!U17,'Paper_W_35x35'!M17,'Paper_W_35x35'!N17,'Paper_W_35x35'!W17,'Paper_W_35x35'!R17,'Paper_W_35x35'!O17,'Paper_W_35x35'!Z17,'Paper_W_35x35'!P17,'Paper_W_35x35'!AF17,'Paper_W_35x35'!AI17,'Paper_W_35x35'!S17,'Paper_W_35x35'!AH17)</x:f>
        <x:v>0.019950485297327798</x:v>
      </x:c>
      <x:c r="O8" s="26" t="n">
        <x:f>SUM(B8:N8)</x:f>
        <x:v>1</x:v>
      </x:c>
    </x:row>
    <x:row r="9">
      <x:c r="A9" t="str">
        <x:v>CN</x:v>
      </x:c>
      <x:c r="B9" s="26" t="n">
        <x:f>'Paper_W_35x35'!L26/SUM('Paper_W_35x35'!L26,'Paper_W_35x35'!U26,'Paper_W_35x35'!M26,'Paper_W_35x35'!N26,'Paper_W_35x35'!W26,'Paper_W_35x35'!R26,'Paper_W_35x35'!O26,'Paper_W_35x35'!Z26,'Paper_W_35x35'!P26,'Paper_W_35x35'!AF26,'Paper_W_35x35'!AI26,'Paper_W_35x35'!S26,'Paper_W_35x35'!AH26)</x:f>
        <x:v>0.05745851981160857</x:v>
      </x:c>
      <x:c r="C9" s="26" t="n">
        <x:f>'Paper_W_35x35'!U26/SUM('Paper_W_35x35'!L26,'Paper_W_35x35'!U26,'Paper_W_35x35'!M26,'Paper_W_35x35'!N26,'Paper_W_35x35'!W26,'Paper_W_35x35'!R26,'Paper_W_35x35'!O26,'Paper_W_35x35'!Z26,'Paper_W_35x35'!P26,'Paper_W_35x35'!AF26,'Paper_W_35x35'!AI26,'Paper_W_35x35'!S26,'Paper_W_35x35'!AH26)</x:f>
        <x:v>0.039782150596973445</x:v>
      </x:c>
      <x:c r="D9" s="26" t="n">
        <x:f>'Paper_W_35x35'!M26/SUM('Paper_W_35x35'!L26,'Paper_W_35x35'!U26,'Paper_W_35x35'!M26,'Paper_W_35x35'!N26,'Paper_W_35x35'!W26,'Paper_W_35x35'!R26,'Paper_W_35x35'!O26,'Paper_W_35x35'!Z26,'Paper_W_35x35'!P26,'Paper_W_35x35'!AF26,'Paper_W_35x35'!AI26,'Paper_W_35x35'!S26,'Paper_W_35x35'!AH26)</x:f>
        <x:v>0.030597320528972245</x:v>
      </x:c>
      <x:c r="E9" s="26" t="n">
        <x:f>'Paper_W_35x35'!N26/SUM('Paper_W_35x35'!L26,'Paper_W_35x35'!U26,'Paper_W_35x35'!M26,'Paper_W_35x35'!N26,'Paper_W_35x35'!W26,'Paper_W_35x35'!R26,'Paper_W_35x35'!O26,'Paper_W_35x35'!Z26,'Paper_W_35x35'!P26,'Paper_W_35x35'!AF26,'Paper_W_35x35'!AI26,'Paper_W_35x35'!S26,'Paper_W_35x35'!AH26)</x:f>
        <x:v>0.012232192446713057</x:v>
      </x:c>
      <x:c r="F9" s="26" t="n">
        <x:f>'Paper_W_35x35'!W26/SUM('Paper_W_35x35'!L26,'Paper_W_35x35'!U26,'Paper_W_35x35'!M26,'Paper_W_35x35'!N26,'Paper_W_35x35'!W26,'Paper_W_35x35'!R26,'Paper_W_35x35'!O26,'Paper_W_35x35'!Z26,'Paper_W_35x35'!P26,'Paper_W_35x35'!AF26,'Paper_W_35x35'!AI26,'Paper_W_35x35'!S26,'Paper_W_35x35'!AH26)</x:f>
        <x:v>0</x:v>
      </x:c>
      <x:c r="G9" s="26" t="n">
        <x:f>'Paper_W_35x35'!R26/SUM('Paper_W_35x35'!L26,'Paper_W_35x35'!U26,'Paper_W_35x35'!M26,'Paper_W_35x35'!N26,'Paper_W_35x35'!W26,'Paper_W_35x35'!R26,'Paper_W_35x35'!O26,'Paper_W_35x35'!Z26,'Paper_W_35x35'!P26,'Paper_W_35x35'!AF26,'Paper_W_35x35'!AI26,'Paper_W_35x35'!S26,'Paper_W_35x35'!AH26)</x:f>
        <x:v>0.04011111160627994</x:v>
      </x:c>
      <x:c r="H9" s="26" t="n">
        <x:f>'Paper_W_35x35'!O26/SUM('Paper_W_35x35'!L26,'Paper_W_35x35'!U26,'Paper_W_35x35'!M26,'Paper_W_35x35'!N26,'Paper_W_35x35'!W26,'Paper_W_35x35'!R26,'Paper_W_35x35'!O26,'Paper_W_35x35'!Z26,'Paper_W_35x35'!P26,'Paper_W_35x35'!AF26,'Paper_W_35x35'!AI26,'Paper_W_35x35'!S26,'Paper_W_35x35'!AH26)</x:f>
        <x:v>0.25796167597160247</x:v>
      </x:c>
      <x:c r="I9" s="26" t="n">
        <x:f>'Paper_W_35x35'!Z26/SUM('Paper_W_35x35'!L26,'Paper_W_35x35'!U26,'Paper_W_35x35'!M26,'Paper_W_35x35'!N26,'Paper_W_35x35'!W26,'Paper_W_35x35'!R26,'Paper_W_35x35'!O26,'Paper_W_35x35'!Z26,'Paper_W_35x35'!P26,'Paper_W_35x35'!AF26,'Paper_W_35x35'!AI26,'Paper_W_35x35'!S26,'Paper_W_35x35'!AH26)</x:f>
        <x:v>0.16496686011234507</x:v>
      </x:c>
      <x:c r="J9" s="26" t="n">
        <x:f>'Paper_W_35x35'!P26/SUM('Paper_W_35x35'!L26,'Paper_W_35x35'!U26,'Paper_W_35x35'!M26,'Paper_W_35x35'!N26,'Paper_W_35x35'!W26,'Paper_W_35x35'!R26,'Paper_W_35x35'!O26,'Paper_W_35x35'!Z26,'Paper_W_35x35'!P26,'Paper_W_35x35'!AF26,'Paper_W_35x35'!AI26,'Paper_W_35x35'!S26,'Paper_W_35x35'!AH26)</x:f>
        <x:v>0.0044999705794177836</x:v>
      </x:c>
      <x:c r="K9" s="26" t="n">
        <x:f>'Paper_W_35x35'!AF26/SUM('Paper_W_35x35'!L26,'Paper_W_35x35'!U26,'Paper_W_35x35'!M26,'Paper_W_35x35'!N26,'Paper_W_35x35'!W26,'Paper_W_35x35'!R26,'Paper_W_35x35'!O26,'Paper_W_35x35'!Z26,'Paper_W_35x35'!P26,'Paper_W_35x35'!AF26,'Paper_W_35x35'!AI26,'Paper_W_35x35'!S26,'Paper_W_35x35'!AH26)</x:f>
        <x:v>0.04727231358548824</x:v>
      </x:c>
      <x:c r="L9" s="26" t="n">
        <x:f>'Paper_W_35x35'!AI26/SUM('Paper_W_35x35'!L26,'Paper_W_35x35'!U26,'Paper_W_35x35'!M26,'Paper_W_35x35'!N26,'Paper_W_35x35'!W26,'Paper_W_35x35'!R26,'Paper_W_35x35'!O26,'Paper_W_35x35'!Z26,'Paper_W_35x35'!P26,'Paper_W_35x35'!AF26,'Paper_W_35x35'!AI26,'Paper_W_35x35'!S26,'Paper_W_35x35'!AH26)</x:f>
        <x:v>0.01043620564073005</x:v>
      </x:c>
      <x:c r="M9" s="26" t="n">
        <x:f>'Paper_W_35x35'!S26/SUM('Paper_W_35x35'!L26,'Paper_W_35x35'!U26,'Paper_W_35x35'!M26,'Paper_W_35x35'!N26,'Paper_W_35x35'!W26,'Paper_W_35x35'!R26,'Paper_W_35x35'!O26,'Paper_W_35x35'!Z26,'Paper_W_35x35'!P26,'Paper_W_35x35'!AF26,'Paper_W_35x35'!AI26,'Paper_W_35x35'!S26,'Paper_W_35x35'!AH26)</x:f>
        <x:v>0.31476097079914683</x:v>
      </x:c>
      <x:c r="N9" s="26" t="n">
        <x:f>'Paper_W_35x35'!AH26/SUM('Paper_W_35x35'!L26,'Paper_W_35x35'!U26,'Paper_W_35x35'!M26,'Paper_W_35x35'!N26,'Paper_W_35x35'!W26,'Paper_W_35x35'!R26,'Paper_W_35x35'!O26,'Paper_W_35x35'!Z26,'Paper_W_35x35'!P26,'Paper_W_35x35'!AF26,'Paper_W_35x35'!AI26,'Paper_W_35x35'!S26,'Paper_W_35x35'!AH26)</x:f>
        <x:v>0.019920708320722267</x:v>
      </x:c>
      <x:c r="O9" s="26" t="n">
        <x:f>SUM(B9:N9)</x:f>
        <x:v>0.9999999999999998</x:v>
      </x:c>
    </x:row>
    <x:row r="10">
      <x:c r="A10" t="str">
        <x:v>UK</x:v>
      </x:c>
      <x:c r="B10" s="26" t="n">
        <x:f>'Paper_W_35x35'!L21/SUM('Paper_W_35x35'!L21,'Paper_W_35x35'!U21,'Paper_W_35x35'!M21,'Paper_W_35x35'!N21,'Paper_W_35x35'!W21,'Paper_W_35x35'!R21,'Paper_W_35x35'!O21,'Paper_W_35x35'!Z21,'Paper_W_35x35'!P21,'Paper_W_35x35'!AF21,'Paper_W_35x35'!AI21,'Paper_W_35x35'!S21,'Paper_W_35x35'!AH21)</x:f>
        <x:v>0.03690132890200047</x:v>
      </x:c>
      <x:c r="C10" s="26" t="n">
        <x:f>'Paper_W_35x35'!U21/SUM('Paper_W_35x35'!L21,'Paper_W_35x35'!U21,'Paper_W_35x35'!M21,'Paper_W_35x35'!N21,'Paper_W_35x35'!W21,'Paper_W_35x35'!R21,'Paper_W_35x35'!O21,'Paper_W_35x35'!Z21,'Paper_W_35x35'!P21,'Paper_W_35x35'!AF21,'Paper_W_35x35'!AI21,'Paper_W_35x35'!S21,'Paper_W_35x35'!AH21)</x:f>
        <x:v>0.020158563239150915</x:v>
      </x:c>
      <x:c r="D10" s="26" t="n">
        <x:f>'Paper_W_35x35'!M21/SUM('Paper_W_35x35'!L21,'Paper_W_35x35'!U21,'Paper_W_35x35'!M21,'Paper_W_35x35'!N21,'Paper_W_35x35'!W21,'Paper_W_35x35'!R21,'Paper_W_35x35'!O21,'Paper_W_35x35'!Z21,'Paper_W_35x35'!P21,'Paper_W_35x35'!AF21,'Paper_W_35x35'!AI21,'Paper_W_35x35'!S21,'Paper_W_35x35'!AH21)</x:f>
        <x:v>0.05959204152383124</x:v>
      </x:c>
      <x:c r="E10" s="26" t="n">
        <x:f>'Paper_W_35x35'!N21/SUM('Paper_W_35x35'!L21,'Paper_W_35x35'!U21,'Paper_W_35x35'!M21,'Paper_W_35x35'!N21,'Paper_W_35x35'!W21,'Paper_W_35x35'!R21,'Paper_W_35x35'!O21,'Paper_W_35x35'!Z21,'Paper_W_35x35'!P21,'Paper_W_35x35'!AF21,'Paper_W_35x35'!AI21,'Paper_W_35x35'!S21,'Paper_W_35x35'!AH21)</x:f>
        <x:v>0.07709650706160699</x:v>
      </x:c>
      <x:c r="F10" s="26" t="n">
        <x:f>'Paper_W_35x35'!W21/SUM('Paper_W_35x35'!L21,'Paper_W_35x35'!U21,'Paper_W_35x35'!M21,'Paper_W_35x35'!N21,'Paper_W_35x35'!W21,'Paper_W_35x35'!R21,'Paper_W_35x35'!O21,'Paper_W_35x35'!Z21,'Paper_W_35x35'!P21,'Paper_W_35x35'!AF21,'Paper_W_35x35'!AI21,'Paper_W_35x35'!S21,'Paper_W_35x35'!AH21)</x:f>
        <x:v>0.13827846811448374</x:v>
      </x:c>
      <x:c r="G10" s="26" t="n">
        <x:f>'Paper_W_35x35'!R21/SUM('Paper_W_35x35'!L21,'Paper_W_35x35'!U21,'Paper_W_35x35'!M21,'Paper_W_35x35'!N21,'Paper_W_35x35'!W21,'Paper_W_35x35'!R21,'Paper_W_35x35'!O21,'Paper_W_35x35'!Z21,'Paper_W_35x35'!P21,'Paper_W_35x35'!AF21,'Paper_W_35x35'!AI21,'Paper_W_35x35'!S21,'Paper_W_35x35'!AH21)</x:f>
        <x:v>0</x:v>
      </x:c>
      <x:c r="H10" s="26" t="n">
        <x:f>'Paper_W_35x35'!O21/SUM('Paper_W_35x35'!L21,'Paper_W_35x35'!U21,'Paper_W_35x35'!M21,'Paper_W_35x35'!N21,'Paper_W_35x35'!W21,'Paper_W_35x35'!R21,'Paper_W_35x35'!O21,'Paper_W_35x35'!Z21,'Paper_W_35x35'!P21,'Paper_W_35x35'!AF21,'Paper_W_35x35'!AI21,'Paper_W_35x35'!S21,'Paper_W_35x35'!AH21)</x:f>
        <x:v>0.07819216112113903</x:v>
      </x:c>
      <x:c r="I10" s="26" t="n">
        <x:f>'Paper_W_35x35'!Z21/SUM('Paper_W_35x35'!L21,'Paper_W_35x35'!U21,'Paper_W_35x35'!M21,'Paper_W_35x35'!N21,'Paper_W_35x35'!W21,'Paper_W_35x35'!R21,'Paper_W_35x35'!O21,'Paper_W_35x35'!Z21,'Paper_W_35x35'!P21,'Paper_W_35x35'!AF21,'Paper_W_35x35'!AI21,'Paper_W_35x35'!S21,'Paper_W_35x35'!AH21)</x:f>
        <x:v>0.029794554837467707</x:v>
      </x:c>
      <x:c r="J10" s="26" t="n">
        <x:f>'Paper_W_35x35'!P21/SUM('Paper_W_35x35'!L21,'Paper_W_35x35'!U21,'Paper_W_35x35'!M21,'Paper_W_35x35'!N21,'Paper_W_35x35'!W21,'Paper_W_35x35'!R21,'Paper_W_35x35'!O21,'Paper_W_35x35'!Z21,'Paper_W_35x35'!P21,'Paper_W_35x35'!AF21,'Paper_W_35x35'!AI21,'Paper_W_35x35'!S21,'Paper_W_35x35'!AH21)</x:f>
        <x:v>0.09550129914096829</x:v>
      </x:c>
      <x:c r="K10" s="26" t="n">
        <x:f>'Paper_W_35x35'!AF21/SUM('Paper_W_35x35'!L21,'Paper_W_35x35'!U21,'Paper_W_35x35'!M21,'Paper_W_35x35'!N21,'Paper_W_35x35'!W21,'Paper_W_35x35'!R21,'Paper_W_35x35'!O21,'Paper_W_35x35'!Z21,'Paper_W_35x35'!P21,'Paper_W_35x35'!AF21,'Paper_W_35x35'!AI21,'Paper_W_35x35'!S21,'Paper_W_35x35'!AH21)</x:f>
        <x:v>0.032982304355787063</x:v>
      </x:c>
      <x:c r="L10" s="26" t="n">
        <x:f>'Paper_W_35x35'!AI21/SUM('Paper_W_35x35'!L21,'Paper_W_35x35'!U21,'Paper_W_35x35'!M21,'Paper_W_35x35'!N21,'Paper_W_35x35'!W21,'Paper_W_35x35'!R21,'Paper_W_35x35'!O21,'Paper_W_35x35'!Z21,'Paper_W_35x35'!P21,'Paper_W_35x35'!AF21,'Paper_W_35x35'!AI21,'Paper_W_35x35'!S21,'Paper_W_35x35'!AH21)</x:f>
        <x:v>0.03723398311586944</x:v>
      </x:c>
      <x:c r="M10" s="26" t="n">
        <x:f>'Paper_W_35x35'!S21/SUM('Paper_W_35x35'!L21,'Paper_W_35x35'!U21,'Paper_W_35x35'!M21,'Paper_W_35x35'!N21,'Paper_W_35x35'!W21,'Paper_W_35x35'!R21,'Paper_W_35x35'!O21,'Paper_W_35x35'!Z21,'Paper_W_35x35'!P21,'Paper_W_35x35'!AF21,'Paper_W_35x35'!AI21,'Paper_W_35x35'!S21,'Paper_W_35x35'!AH21)</x:f>
        <x:v>0.35226607026590767</x:v>
      </x:c>
      <x:c r="N10" s="26" t="n">
        <x:f>'Paper_W_35x35'!AH21/SUM('Paper_W_35x35'!L21,'Paper_W_35x35'!U21,'Paper_W_35x35'!M21,'Paper_W_35x35'!N21,'Paper_W_35x35'!W21,'Paper_W_35x35'!R21,'Paper_W_35x35'!O21,'Paper_W_35x35'!Z21,'Paper_W_35x35'!P21,'Paper_W_35x35'!AF21,'Paper_W_35x35'!AI21,'Paper_W_35x35'!S21,'Paper_W_35x35'!AH21)</x:f>
        <x:v>0.04200271832178757</x:v>
      </x:c>
      <x:c r="O10" s="26" t="n">
        <x:f>SUM(B10:N10)</x:f>
        <x:v>1</x:v>
      </x:c>
    </x:row>
    <x:row r="11">
      <x:c r="A11" t="str">
        <x:v>JP</x:v>
      </x:c>
      <x:c r="B11" s="26" t="n">
        <x:f>'Paper_W_35x35'!L18/SUM('Paper_W_35x35'!L18,'Paper_W_35x35'!U18,'Paper_W_35x35'!M18,'Paper_W_35x35'!N18,'Paper_W_35x35'!W18,'Paper_W_35x35'!R18,'Paper_W_35x35'!O18,'Paper_W_35x35'!Z18,'Paper_W_35x35'!P18,'Paper_W_35x35'!AF18,'Paper_W_35x35'!AI18,'Paper_W_35x35'!S18,'Paper_W_35x35'!AH18)</x:f>
        <x:v>0.06963153735348018</x:v>
      </x:c>
      <x:c r="C11" s="26" t="n">
        <x:f>'Paper_W_35x35'!U18/SUM('Paper_W_35x35'!L18,'Paper_W_35x35'!U18,'Paper_W_35x35'!M18,'Paper_W_35x35'!N18,'Paper_W_35x35'!W18,'Paper_W_35x35'!R18,'Paper_W_35x35'!O18,'Paper_W_35x35'!Z18,'Paper_W_35x35'!P18,'Paper_W_35x35'!AF18,'Paper_W_35x35'!AI18,'Paper_W_35x35'!S18,'Paper_W_35x35'!AH18)</x:f>
        <x:v>0.015843499419335005</x:v>
      </x:c>
      <x:c r="D11" s="26" t="n">
        <x:f>'Paper_W_35x35'!M18/SUM('Paper_W_35x35'!L18,'Paper_W_35x35'!U18,'Paper_W_35x35'!M18,'Paper_W_35x35'!N18,'Paper_W_35x35'!W18,'Paper_W_35x35'!R18,'Paper_W_35x35'!O18,'Paper_W_35x35'!Z18,'Paper_W_35x35'!P18,'Paper_W_35x35'!AF18,'Paper_W_35x35'!AI18,'Paper_W_35x35'!S18,'Paper_W_35x35'!AH18)</x:f>
        <x:v>0.02997446739775525</x:v>
      </x:c>
      <x:c r="E11" s="26" t="n">
        <x:f>'Paper_W_35x35'!N18/SUM('Paper_W_35x35'!L18,'Paper_W_35x35'!U18,'Paper_W_35x35'!M18,'Paper_W_35x35'!N18,'Paper_W_35x35'!W18,'Paper_W_35x35'!R18,'Paper_W_35x35'!O18,'Paper_W_35x35'!Z18,'Paper_W_35x35'!P18,'Paper_W_35x35'!AF18,'Paper_W_35x35'!AI18,'Paper_W_35x35'!S18,'Paper_W_35x35'!AH18)</x:f>
        <x:v>0.014681390806661133</x:v>
      </x:c>
      <x:c r="F11" s="26" t="n">
        <x:f>'Paper_W_35x35'!W18/SUM('Paper_W_35x35'!L18,'Paper_W_35x35'!U18,'Paper_W_35x35'!M18,'Paper_W_35x35'!N18,'Paper_W_35x35'!W18,'Paper_W_35x35'!R18,'Paper_W_35x35'!O18,'Paper_W_35x35'!Z18,'Paper_W_35x35'!P18,'Paper_W_35x35'!AF18,'Paper_W_35x35'!AI18,'Paper_W_35x35'!S18,'Paper_W_35x35'!AH18)</x:f>
        <x:v>0.32592930849435253</x:v>
      </x:c>
      <x:c r="G11" s="26" t="n">
        <x:f>'Paper_W_35x35'!R18/SUM('Paper_W_35x35'!L18,'Paper_W_35x35'!U18,'Paper_W_35x35'!M18,'Paper_W_35x35'!N18,'Paper_W_35x35'!W18,'Paper_W_35x35'!R18,'Paper_W_35x35'!O18,'Paper_W_35x35'!Z18,'Paper_W_35x35'!P18,'Paper_W_35x35'!AF18,'Paper_W_35x35'!AI18,'Paper_W_35x35'!S18,'Paper_W_35x35'!AH18)</x:f>
        <x:v>0.03443765012476798</x:v>
      </x:c>
      <x:c r="H11" s="26" t="n">
        <x:f>'Paper_W_35x35'!O18/SUM('Paper_W_35x35'!L18,'Paper_W_35x35'!U18,'Paper_W_35x35'!M18,'Paper_W_35x35'!N18,'Paper_W_35x35'!W18,'Paper_W_35x35'!R18,'Paper_W_35x35'!O18,'Paper_W_35x35'!Z18,'Paper_W_35x35'!P18,'Paper_W_35x35'!AF18,'Paper_W_35x35'!AI18,'Paper_W_35x35'!S18,'Paper_W_35x35'!AH18)</x:f>
        <x:v>0</x:v>
      </x:c>
      <x:c r="I11" s="26" t="n">
        <x:f>'Paper_W_35x35'!Z18/SUM('Paper_W_35x35'!L18,'Paper_W_35x35'!U18,'Paper_W_35x35'!M18,'Paper_W_35x35'!N18,'Paper_W_35x35'!W18,'Paper_W_35x35'!R18,'Paper_W_35x35'!O18,'Paper_W_35x35'!Z18,'Paper_W_35x35'!P18,'Paper_W_35x35'!AF18,'Paper_W_35x35'!AI18,'Paper_W_35x35'!S18,'Paper_W_35x35'!AH18)</x:f>
        <x:v>0.11600167298716418</x:v>
      </x:c>
      <x:c r="J11" s="26" t="n">
        <x:f>'Paper_W_35x35'!P18/SUM('Paper_W_35x35'!L18,'Paper_W_35x35'!U18,'Paper_W_35x35'!M18,'Paper_W_35x35'!N18,'Paper_W_35x35'!W18,'Paper_W_35x35'!R18,'Paper_W_35x35'!O18,'Paper_W_35x35'!Z18,'Paper_W_35x35'!P18,'Paper_W_35x35'!AF18,'Paper_W_35x35'!AI18,'Paper_W_35x35'!S18,'Paper_W_35x35'!AH18)</x:f>
        <x:v>0.004361266555523498</x:v>
      </x:c>
      <x:c r="K11" s="26" t="n">
        <x:f>'Paper_W_35x35'!AF18/SUM('Paper_W_35x35'!L18,'Paper_W_35x35'!U18,'Paper_W_35x35'!M18,'Paper_W_35x35'!N18,'Paper_W_35x35'!W18,'Paper_W_35x35'!R18,'Paper_W_35x35'!O18,'Paper_W_35x35'!Z18,'Paper_W_35x35'!P18,'Paper_W_35x35'!AF18,'Paper_W_35x35'!AI18,'Paper_W_35x35'!S18,'Paper_W_35x35'!AH18)</x:f>
        <x:v>0.0444301774125899</x:v>
      </x:c>
      <x:c r="L11" s="26" t="n">
        <x:f>'Paper_W_35x35'!AI18/SUM('Paper_W_35x35'!L18,'Paper_W_35x35'!U18,'Paper_W_35x35'!M18,'Paper_W_35x35'!N18,'Paper_W_35x35'!W18,'Paper_W_35x35'!R18,'Paper_W_35x35'!O18,'Paper_W_35x35'!Z18,'Paper_W_35x35'!P18,'Paper_W_35x35'!AF18,'Paper_W_35x35'!AI18,'Paper_W_35x35'!S18,'Paper_W_35x35'!AH18)</x:f>
        <x:v>0.0037117352938202883</x:v>
      </x:c>
      <x:c r="M11" s="26" t="n">
        <x:f>'Paper_W_35x35'!S18/SUM('Paper_W_35x35'!L18,'Paper_W_35x35'!U18,'Paper_W_35x35'!M18,'Paper_W_35x35'!N18,'Paper_W_35x35'!W18,'Paper_W_35x35'!R18,'Paper_W_35x35'!O18,'Paper_W_35x35'!Z18,'Paper_W_35x35'!P18,'Paper_W_35x35'!AF18,'Paper_W_35x35'!AI18,'Paper_W_35x35'!S18,'Paper_W_35x35'!AH18)</x:f>
        <x:v>0.3270491004839066</x:v>
      </x:c>
      <x:c r="N11" s="26" t="n">
        <x:f>'Paper_W_35x35'!AH18/SUM('Paper_W_35x35'!L18,'Paper_W_35x35'!U18,'Paper_W_35x35'!M18,'Paper_W_35x35'!N18,'Paper_W_35x35'!W18,'Paper_W_35x35'!R18,'Paper_W_35x35'!O18,'Paper_W_35x35'!Z18,'Paper_W_35x35'!P18,'Paper_W_35x35'!AF18,'Paper_W_35x35'!AI18,'Paper_W_35x35'!S18,'Paper_W_35x35'!AH18)</x:f>
        <x:v>0.01394819367064358</x:v>
      </x:c>
      <x:c r="O11" s="26" t="n">
        <x:f>SUM(B11:N11)</x:f>
        <x:v>1.0000000000000002</x:v>
      </x:c>
    </x:row>
    <x:row r="12">
      <x:c r="A12" t="str">
        <x:v>KR</x:v>
      </x:c>
      <x:c r="B12" s="26" t="n">
        <x:f>'Paper_W_35x35'!L29/SUM('Paper_W_35x35'!L29,'Paper_W_35x35'!U29,'Paper_W_35x35'!M29,'Paper_W_35x35'!N29,'Paper_W_35x35'!W29,'Paper_W_35x35'!R29,'Paper_W_35x35'!O29,'Paper_W_35x35'!Z29,'Paper_W_35x35'!P29,'Paper_W_35x35'!AF29,'Paper_W_35x35'!AI29,'Paper_W_35x35'!S29,'Paper_W_35x35'!AH29)</x:f>
        <x:v>0.05229579900675546</x:v>
      </x:c>
      <x:c r="C12" s="26" t="n">
        <x:f>'Paper_W_35x35'!U29/SUM('Paper_W_35x35'!L29,'Paper_W_35x35'!U29,'Paper_W_35x35'!M29,'Paper_W_35x35'!N29,'Paper_W_35x35'!W29,'Paper_W_35x35'!R29,'Paper_W_35x35'!O29,'Paper_W_35x35'!Z29,'Paper_W_35x35'!P29,'Paper_W_35x35'!AF29,'Paper_W_35x35'!AI29,'Paper_W_35x35'!S29,'Paper_W_35x35'!AH29)</x:f>
        <x:v>0.022148914969538233</x:v>
      </x:c>
      <x:c r="D12" s="26" t="n">
        <x:f>'Paper_W_35x35'!M29/SUM('Paper_W_35x35'!L29,'Paper_W_35x35'!U29,'Paper_W_35x35'!M29,'Paper_W_35x35'!N29,'Paper_W_35x35'!W29,'Paper_W_35x35'!R29,'Paper_W_35x35'!O29,'Paper_W_35x35'!Z29,'Paper_W_35x35'!P29,'Paper_W_35x35'!AF29,'Paper_W_35x35'!AI29,'Paper_W_35x35'!S29,'Paper_W_35x35'!AH29)</x:f>
        <x:v>0.020173912966493603</x:v>
      </x:c>
      <x:c r="E12" s="26" t="n">
        <x:f>'Paper_W_35x35'!N29/SUM('Paper_W_35x35'!L29,'Paper_W_35x35'!U29,'Paper_W_35x35'!M29,'Paper_W_35x35'!N29,'Paper_W_35x35'!W29,'Paper_W_35x35'!R29,'Paper_W_35x35'!O29,'Paper_W_35x35'!Z29,'Paper_W_35x35'!P29,'Paper_W_35x35'!AF29,'Paper_W_35x35'!AI29,'Paper_W_35x35'!S29,'Paper_W_35x35'!AH29)</x:f>
        <x:v>0.006780870459009297</x:v>
      </x:c>
      <x:c r="F12" s="26" t="n">
        <x:f>'Paper_W_35x35'!W29/SUM('Paper_W_35x35'!L29,'Paper_W_35x35'!U29,'Paper_W_35x35'!M29,'Paper_W_35x35'!N29,'Paper_W_35x35'!W29,'Paper_W_35x35'!R29,'Paper_W_35x35'!O29,'Paper_W_35x35'!Z29,'Paper_W_35x35'!P29,'Paper_W_35x35'!AF29,'Paper_W_35x35'!AI29,'Paper_W_35x35'!S29,'Paper_W_35x35'!AH29)</x:f>
        <x:v>0.34523826492511717</x:v>
      </x:c>
      <x:c r="G12" s="26" t="n">
        <x:f>'Paper_W_35x35'!R29/SUM('Paper_W_35x35'!L29,'Paper_W_35x35'!U29,'Paper_W_35x35'!M29,'Paper_W_35x35'!N29,'Paper_W_35x35'!W29,'Paper_W_35x35'!R29,'Paper_W_35x35'!O29,'Paper_W_35x35'!Z29,'Paper_W_35x35'!P29,'Paper_W_35x35'!AF29,'Paper_W_35x35'!AI29,'Paper_W_35x35'!S29,'Paper_W_35x35'!AH29)</x:f>
        <x:v>0.025828607549774004</x:v>
      </x:c>
      <x:c r="H12" s="26" t="n">
        <x:f>'Paper_W_35x35'!O29/SUM('Paper_W_35x35'!L29,'Paper_W_35x35'!U29,'Paper_W_35x35'!M29,'Paper_W_35x35'!N29,'Paper_W_35x35'!W29,'Paper_W_35x35'!R29,'Paper_W_35x35'!O29,'Paper_W_35x35'!Z29,'Paper_W_35x35'!P29,'Paper_W_35x35'!AF29,'Paper_W_35x35'!AI29,'Paper_W_35x35'!S29,'Paper_W_35x35'!AH29)</x:f>
        <x:v>0.22120613387597768</x:v>
      </x:c>
      <x:c r="I12" s="26" t="n">
        <x:f>'Paper_W_35x35'!Z29/SUM('Paper_W_35x35'!L29,'Paper_W_35x35'!U29,'Paper_W_35x35'!M29,'Paper_W_35x35'!N29,'Paper_W_35x35'!W29,'Paper_W_35x35'!R29,'Paper_W_35x35'!O29,'Paper_W_35x35'!Z29,'Paper_W_35x35'!P29,'Paper_W_35x35'!AF29,'Paper_W_35x35'!AI29,'Paper_W_35x35'!S29,'Paper_W_35x35'!AH29)</x:f>
        <x:v>0</x:v>
      </x:c>
      <x:c r="J12" s="26" t="n">
        <x:f>'Paper_W_35x35'!P29/SUM('Paper_W_35x35'!L29,'Paper_W_35x35'!U29,'Paper_W_35x35'!M29,'Paper_W_35x35'!N29,'Paper_W_35x35'!W29,'Paper_W_35x35'!R29,'Paper_W_35x35'!O29,'Paper_W_35x35'!Z29,'Paper_W_35x35'!P29,'Paper_W_35x35'!AF29,'Paper_W_35x35'!AI29,'Paper_W_35x35'!S29,'Paper_W_35x35'!AH29)</x:f>
        <x:v>0.007861031641022531</x:v>
      </x:c>
      <x:c r="K12" s="26" t="n">
        <x:f>'Paper_W_35x35'!AF29/SUM('Paper_W_35x35'!L29,'Paper_W_35x35'!U29,'Paper_W_35x35'!M29,'Paper_W_35x35'!N29,'Paper_W_35x35'!W29,'Paper_W_35x35'!R29,'Paper_W_35x35'!O29,'Paper_W_35x35'!Z29,'Paper_W_35x35'!P29,'Paper_W_35x35'!AF29,'Paper_W_35x35'!AI29,'Paper_W_35x35'!S29,'Paper_W_35x35'!AH29)</x:f>
        <x:v>0.05062253741709499</x:v>
      </x:c>
      <x:c r="L12" s="26" t="n">
        <x:f>'Paper_W_35x35'!AI29/SUM('Paper_W_35x35'!L29,'Paper_W_35x35'!U29,'Paper_W_35x35'!M29,'Paper_W_35x35'!N29,'Paper_W_35x35'!W29,'Paper_W_35x35'!R29,'Paper_W_35x35'!O29,'Paper_W_35x35'!Z29,'Paper_W_35x35'!P29,'Paper_W_35x35'!AF29,'Paper_W_35x35'!AI29,'Paper_W_35x35'!S29,'Paper_W_35x35'!AH29)</x:f>
        <x:v>0.009070693531515971</x:v>
      </x:c>
      <x:c r="M12" s="26" t="n">
        <x:f>'Paper_W_35x35'!S29/SUM('Paper_W_35x35'!L29,'Paper_W_35x35'!U29,'Paper_W_35x35'!M29,'Paper_W_35x35'!N29,'Paper_W_35x35'!W29,'Paper_W_35x35'!R29,'Paper_W_35x35'!O29,'Paper_W_35x35'!Z29,'Paper_W_35x35'!P29,'Paper_W_35x35'!AF29,'Paper_W_35x35'!AI29,'Paper_W_35x35'!S29,'Paper_W_35x35'!AH29)</x:f>
        <x:v>0.2305614368093646</x:v>
      </x:c>
      <x:c r="N12" s="26" t="n">
        <x:f>'Paper_W_35x35'!AH29/SUM('Paper_W_35x35'!L29,'Paper_W_35x35'!U29,'Paper_W_35x35'!M29,'Paper_W_35x35'!N29,'Paper_W_35x35'!W29,'Paper_W_35x35'!R29,'Paper_W_35x35'!O29,'Paper_W_35x35'!Z29,'Paper_W_35x35'!P29,'Paper_W_35x35'!AF29,'Paper_W_35x35'!AI29,'Paper_W_35x35'!S29,'Paper_W_35x35'!AH29)</x:f>
        <x:v>0.008211796848336544</x:v>
      </x:c>
      <x:c r="O12" s="26" t="n">
        <x:f>SUM(B12:N12)</x:f>
        <x:v>1.0000000000000002</x:v>
      </x:c>
    </x:row>
    <x:row r="13">
      <x:c r="A13" t="str">
        <x:v>NO</x:v>
      </x:c>
      <x:c r="B13" s="26" t="n">
        <x:f>'Paper_W_35x35'!L19/SUM('Paper_W_35x35'!L19,'Paper_W_35x35'!U19,'Paper_W_35x35'!M19,'Paper_W_35x35'!N19,'Paper_W_35x35'!W19,'Paper_W_35x35'!R19,'Paper_W_35x35'!O19,'Paper_W_35x35'!Z19,'Paper_W_35x35'!P19,'Paper_W_35x35'!AF19,'Paper_W_35x35'!AI19,'Paper_W_35x35'!S19,'Paper_W_35x35'!AH19)</x:f>
        <x:v>0.005090820913197094</x:v>
      </x:c>
      <x:c r="C13" s="26" t="n">
        <x:f>'Paper_W_35x35'!U19/SUM('Paper_W_35x35'!L19,'Paper_W_35x35'!U19,'Paper_W_35x35'!M19,'Paper_W_35x35'!N19,'Paper_W_35x35'!W19,'Paper_W_35x35'!R19,'Paper_W_35x35'!O19,'Paper_W_35x35'!Z19,'Paper_W_35x35'!P19,'Paper_W_35x35'!AF19,'Paper_W_35x35'!AI19,'Paper_W_35x35'!S19,'Paper_W_35x35'!AH19)</x:f>
        <x:v>0.019023227125762602</x:v>
      </x:c>
      <x:c r="D13" s="26" t="n">
        <x:f>'Paper_W_35x35'!M19/SUM('Paper_W_35x35'!L19,'Paper_W_35x35'!U19,'Paper_W_35x35'!M19,'Paper_W_35x35'!N19,'Paper_W_35x35'!W19,'Paper_W_35x35'!R19,'Paper_W_35x35'!O19,'Paper_W_35x35'!Z19,'Paper_W_35x35'!P19,'Paper_W_35x35'!AF19,'Paper_W_35x35'!AI19,'Paper_W_35x35'!S19,'Paper_W_35x35'!AH19)</x:f>
        <x:v>0.07691602428588097</x:v>
      </x:c>
      <x:c r="E13" s="26" t="n">
        <x:f>'Paper_W_35x35'!N19/SUM('Paper_W_35x35'!L19,'Paper_W_35x35'!U19,'Paper_W_35x35'!M19,'Paper_W_35x35'!N19,'Paper_W_35x35'!W19,'Paper_W_35x35'!R19,'Paper_W_35x35'!O19,'Paper_W_35x35'!Z19,'Paper_W_35x35'!P19,'Paper_W_35x35'!AF19,'Paper_W_35x35'!AI19,'Paper_W_35x35'!S19,'Paper_W_35x35'!AH19)</x:f>
        <x:v>0.02076558900182732</x:v>
      </x:c>
      <x:c r="F13" s="26" t="n">
        <x:f>'Paper_W_35x35'!W19/SUM('Paper_W_35x35'!L19,'Paper_W_35x35'!U19,'Paper_W_35x35'!M19,'Paper_W_35x35'!N19,'Paper_W_35x35'!W19,'Paper_W_35x35'!R19,'Paper_W_35x35'!O19,'Paper_W_35x35'!Z19,'Paper_W_35x35'!P19,'Paper_W_35x35'!AF19,'Paper_W_35x35'!AI19,'Paper_W_35x35'!S19,'Paper_W_35x35'!AH19)</x:f>
        <x:v>0.08901065928930622</x:v>
      </x:c>
      <x:c r="G13" s="26" t="n">
        <x:f>'Paper_W_35x35'!R19/SUM('Paper_W_35x35'!L19,'Paper_W_35x35'!U19,'Paper_W_35x35'!M19,'Paper_W_35x35'!N19,'Paper_W_35x35'!W19,'Paper_W_35x35'!R19,'Paper_W_35x35'!O19,'Paper_W_35x35'!Z19,'Paper_W_35x35'!P19,'Paper_W_35x35'!AF19,'Paper_W_35x35'!AI19,'Paper_W_35x35'!S19,'Paper_W_35x35'!AH19)</x:f>
        <x:v>0.5056387036010536</x:v>
      </x:c>
      <x:c r="H13" s="26" t="n">
        <x:f>'Paper_W_35x35'!O19/SUM('Paper_W_35x35'!L19,'Paper_W_35x35'!U19,'Paper_W_35x35'!M19,'Paper_W_35x35'!N19,'Paper_W_35x35'!W19,'Paper_W_35x35'!R19,'Paper_W_35x35'!O19,'Paper_W_35x35'!Z19,'Paper_W_35x35'!P19,'Paper_W_35x35'!AF19,'Paper_W_35x35'!AI19,'Paper_W_35x35'!S19,'Paper_W_35x35'!AH19)</x:f>
        <x:v>0.047501471094156394</x:v>
      </x:c>
      <x:c r="I13" s="26" t="n">
        <x:f>'Paper_W_35x35'!Z19/SUM('Paper_W_35x35'!L19,'Paper_W_35x35'!U19,'Paper_W_35x35'!M19,'Paper_W_35x35'!N19,'Paper_W_35x35'!W19,'Paper_W_35x35'!R19,'Paper_W_35x35'!O19,'Paper_W_35x35'!Z19,'Paper_W_35x35'!P19,'Paper_W_35x35'!AF19,'Paper_W_35x35'!AI19,'Paper_W_35x35'!S19,'Paper_W_35x35'!AH19)</x:f>
        <x:v>0.036846988303464646</x:v>
      </x:c>
      <x:c r="J13" s="26" t="n">
        <x:f>'Paper_W_35x35'!P19/SUM('Paper_W_35x35'!L19,'Paper_W_35x35'!U19,'Paper_W_35x35'!M19,'Paper_W_35x35'!N19,'Paper_W_35x35'!W19,'Paper_W_35x35'!R19,'Paper_W_35x35'!O19,'Paper_W_35x35'!Z19,'Paper_W_35x35'!P19,'Paper_W_35x35'!AF19,'Paper_W_35x35'!AI19,'Paper_W_35x35'!S19,'Paper_W_35x35'!AH19)</x:f>
        <x:v>0</x:v>
      </x:c>
      <x:c r="K13" s="26" t="n">
        <x:f>'Paper_W_35x35'!AF19/SUM('Paper_W_35x35'!L19,'Paper_W_35x35'!U19,'Paper_W_35x35'!M19,'Paper_W_35x35'!N19,'Paper_W_35x35'!W19,'Paper_W_35x35'!R19,'Paper_W_35x35'!O19,'Paper_W_35x35'!Z19,'Paper_W_35x35'!P19,'Paper_W_35x35'!AF19,'Paper_W_35x35'!AI19,'Paper_W_35x35'!S19,'Paper_W_35x35'!AH19)</x:f>
        <x:v>0.016020596880307072</x:v>
      </x:c>
      <x:c r="L13" s="26" t="n">
        <x:f>'Paper_W_35x35'!AI19/SUM('Paper_W_35x35'!L19,'Paper_W_35x35'!U19,'Paper_W_35x35'!M19,'Paper_W_35x35'!N19,'Paper_W_35x35'!W19,'Paper_W_35x35'!R19,'Paper_W_35x35'!O19,'Paper_W_35x35'!Z19,'Paper_W_35x35'!P19,'Paper_W_35x35'!AF19,'Paper_W_35x35'!AI19,'Paper_W_35x35'!S19,'Paper_W_35x35'!AH19)</x:f>
        <x:v>0.014465088295089292</x:v>
      </x:c>
      <x:c r="M13" s="26" t="n">
        <x:f>'Paper_W_35x35'!S19/SUM('Paper_W_35x35'!L19,'Paper_W_35x35'!U19,'Paper_W_35x35'!M19,'Paper_W_35x35'!N19,'Paper_W_35x35'!W19,'Paper_W_35x35'!R19,'Paper_W_35x35'!O19,'Paper_W_35x35'!Z19,'Paper_W_35x35'!P19,'Paper_W_35x35'!AF19,'Paper_W_35x35'!AI19,'Paper_W_35x35'!S19,'Paper_W_35x35'!AH19)</x:f>
        <x:v>0.1637359939639778</x:v>
      </x:c>
      <x:c r="N13" s="26" t="n">
        <x:f>'Paper_W_35x35'!AH19/SUM('Paper_W_35x35'!L19,'Paper_W_35x35'!U19,'Paper_W_35x35'!M19,'Paper_W_35x35'!N19,'Paper_W_35x35'!W19,'Paper_W_35x35'!R19,'Paper_W_35x35'!O19,'Paper_W_35x35'!Z19,'Paper_W_35x35'!P19,'Paper_W_35x35'!AF19,'Paper_W_35x35'!AI19,'Paper_W_35x35'!S19,'Paper_W_35x35'!AH19)</x:f>
        <x:v>0.004984837245977158</x:v>
      </x:c>
      <x:c r="O13" s="26" t="n">
        <x:f>SUM(B13:N13)</x:f>
        <x:v>1</x:v>
      </x:c>
    </x:row>
    <x:row r="14">
      <x:c r="A14" t="str">
        <x:v>SG</x:v>
      </x:c>
      <x:c r="B14" s="26" t="n">
        <x:f>'Paper_W_35x35'!L35/SUM('Paper_W_35x35'!L35,'Paper_W_35x35'!U35,'Paper_W_35x35'!M35,'Paper_W_35x35'!N35,'Paper_W_35x35'!W35,'Paper_W_35x35'!R35,'Paper_W_35x35'!O35,'Paper_W_35x35'!Z35,'Paper_W_35x35'!P35,'Paper_W_35x35'!AF35,'Paper_W_35x35'!AI35,'Paper_W_35x35'!S35,'Paper_W_35x35'!AH35)</x:f>
        <x:v>0.06693436494459508</x:v>
      </x:c>
      <x:c r="C14" s="26" t="n">
        <x:f>'Paper_W_35x35'!U35/SUM('Paper_W_35x35'!L35,'Paper_W_35x35'!U35,'Paper_W_35x35'!M35,'Paper_W_35x35'!N35,'Paper_W_35x35'!W35,'Paper_W_35x35'!R35,'Paper_W_35x35'!O35,'Paper_W_35x35'!Z35,'Paper_W_35x35'!P35,'Paper_W_35x35'!AF35,'Paper_W_35x35'!AI35,'Paper_W_35x35'!S35,'Paper_W_35x35'!AH35)</x:f>
        <x:v>0.009715834431662875</x:v>
      </x:c>
      <x:c r="D14" s="26" t="n">
        <x:f>'Paper_W_35x35'!M35/SUM('Paper_W_35x35'!L35,'Paper_W_35x35'!U35,'Paper_W_35x35'!M35,'Paper_W_35x35'!N35,'Paper_W_35x35'!W35,'Paper_W_35x35'!R35,'Paper_W_35x35'!O35,'Paper_W_35x35'!Z35,'Paper_W_35x35'!P35,'Paper_W_35x35'!AF35,'Paper_W_35x35'!AI35,'Paper_W_35x35'!S35,'Paper_W_35x35'!AH35)</x:f>
        <x:v>0.010363253280714664</x:v>
      </x:c>
      <x:c r="E14" s="26" t="n">
        <x:f>'Paper_W_35x35'!N35/SUM('Paper_W_35x35'!L35,'Paper_W_35x35'!U35,'Paper_W_35x35'!M35,'Paper_W_35x35'!N35,'Paper_W_35x35'!W35,'Paper_W_35x35'!R35,'Paper_W_35x35'!O35,'Paper_W_35x35'!Z35,'Paper_W_35x35'!P35,'Paper_W_35x35'!AF35,'Paper_W_35x35'!AI35,'Paper_W_35x35'!S35,'Paper_W_35x35'!AH35)</x:f>
        <x:v>0.019016506285931944</x:v>
      </x:c>
      <x:c r="F14" s="26" t="n">
        <x:f>'Paper_W_35x35'!W35/SUM('Paper_W_35x35'!L35,'Paper_W_35x35'!U35,'Paper_W_35x35'!M35,'Paper_W_35x35'!N35,'Paper_W_35x35'!W35,'Paper_W_35x35'!R35,'Paper_W_35x35'!O35,'Paper_W_35x35'!Z35,'Paper_W_35x35'!P35,'Paper_W_35x35'!AF35,'Paper_W_35x35'!AI35,'Paper_W_35x35'!S35,'Paper_W_35x35'!AH35)</x:f>
        <x:v>0.2433127003095553</x:v>
      </x:c>
      <x:c r="G14" s="26" t="n">
        <x:f>'Paper_W_35x35'!R35/SUM('Paper_W_35x35'!L35,'Paper_W_35x35'!U35,'Paper_W_35x35'!M35,'Paper_W_35x35'!N35,'Paper_W_35x35'!W35,'Paper_W_35x35'!R35,'Paper_W_35x35'!O35,'Paper_W_35x35'!Z35,'Paper_W_35x35'!P35,'Paper_W_35x35'!AF35,'Paper_W_35x35'!AI35,'Paper_W_35x35'!S35,'Paper_W_35x35'!AH35)</x:f>
        <x:v>0.05351209253837299</x:v>
      </x:c>
      <x:c r="H14" s="26" t="n">
        <x:f>'Paper_W_35x35'!O35/SUM('Paper_W_35x35'!L35,'Paper_W_35x35'!U35,'Paper_W_35x35'!M35,'Paper_W_35x35'!N35,'Paper_W_35x35'!W35,'Paper_W_35x35'!R35,'Paper_W_35x35'!O35,'Paper_W_35x35'!Z35,'Paper_W_35x35'!P35,'Paper_W_35x35'!AF35,'Paper_W_35x35'!AI35,'Paper_W_35x35'!S35,'Paper_W_35x35'!AH35)</x:f>
        <x:v>0.18746387091390468</x:v>
      </x:c>
      <x:c r="I14" s="26" t="n">
        <x:f>'Paper_W_35x35'!Z35/SUM('Paper_W_35x35'!L35,'Paper_W_35x35'!U35,'Paper_W_35x35'!M35,'Paper_W_35x35'!N35,'Paper_W_35x35'!W35,'Paper_W_35x35'!R35,'Paper_W_35x35'!O35,'Paper_W_35x35'!Z35,'Paper_W_35x35'!P35,'Paper_W_35x35'!AF35,'Paper_W_35x35'!AI35,'Paper_W_35x35'!S35,'Paper_W_35x35'!AH35)</x:f>
        <x:v>0.11537854338544759</x:v>
      </x:c>
      <x:c r="J14" s="26" t="n">
        <x:f>'Paper_W_35x35'!P35/SUM('Paper_W_35x35'!L35,'Paper_W_35x35'!U35,'Paper_W_35x35'!M35,'Paper_W_35x35'!N35,'Paper_W_35x35'!W35,'Paper_W_35x35'!R35,'Paper_W_35x35'!O35,'Paper_W_35x35'!Z35,'Paper_W_35x35'!P35,'Paper_W_35x35'!AF35,'Paper_W_35x35'!AI35,'Paper_W_35x35'!S35,'Paper_W_35x35'!AH35)</x:f>
        <x:v>0.005789118332514161</x:v>
      </x:c>
      <x:c r="K14" s="26" t="n">
        <x:f>'Paper_W_35x35'!AF35/SUM('Paper_W_35x35'!L35,'Paper_W_35x35'!U35,'Paper_W_35x35'!M35,'Paper_W_35x35'!N35,'Paper_W_35x35'!W35,'Paper_W_35x35'!R35,'Paper_W_35x35'!O35,'Paper_W_35x35'!Z35,'Paper_W_35x35'!P35,'Paper_W_35x35'!AF35,'Paper_W_35x35'!AI35,'Paper_W_35x35'!S35,'Paper_W_35x35'!AH35)</x:f>
        <x:v>0</x:v>
      </x:c>
      <x:c r="L14" s="26" t="n">
        <x:f>'Paper_W_35x35'!AI35/SUM('Paper_W_35x35'!L35,'Paper_W_35x35'!U35,'Paper_W_35x35'!M35,'Paper_W_35x35'!N35,'Paper_W_35x35'!W35,'Paper_W_35x35'!R35,'Paper_W_35x35'!O35,'Paper_W_35x35'!Z35,'Paper_W_35x35'!P35,'Paper_W_35x35'!AF35,'Paper_W_35x35'!AI35,'Paper_W_35x35'!S35,'Paper_W_35x35'!AH35)</x:f>
        <x:v>0.0036487831600028908</x:v>
      </x:c>
      <x:c r="M14" s="26" t="n">
        <x:f>'Paper_W_35x35'!S35/SUM('Paper_W_35x35'!L35,'Paper_W_35x35'!U35,'Paper_W_35x35'!M35,'Paper_W_35x35'!N35,'Paper_W_35x35'!W35,'Paper_W_35x35'!R35,'Paper_W_35x35'!O35,'Paper_W_35x35'!Z35,'Paper_W_35x35'!P35,'Paper_W_35x35'!AF35,'Paper_W_35x35'!AI35,'Paper_W_35x35'!S35,'Paper_W_35x35'!AH35)</x:f>
        <x:v>0.2784463624563347</x:v>
      </x:c>
      <x:c r="N14" s="26" t="n">
        <x:f>'Paper_W_35x35'!AH35/SUM('Paper_W_35x35'!L35,'Paper_W_35x35'!U35,'Paper_W_35x35'!M35,'Paper_W_35x35'!N35,'Paper_W_35x35'!W35,'Paper_W_35x35'!R35,'Paper_W_35x35'!O35,'Paper_W_35x35'!Z35,'Paper_W_35x35'!P35,'Paper_W_35x35'!AF35,'Paper_W_35x35'!AI35,'Paper_W_35x35'!S35,'Paper_W_35x35'!AH35)</x:f>
        <x:v>0.0064185699609632186</x:v>
      </x:c>
      <x:c r="O14" s="26" t="n">
        <x:f>SUM(B14:N14)</x:f>
        <x:v>1.0000000000000002</x:v>
      </x:c>
    </x:row>
    <x:row r="15">
      <x:c r="A15" t="str">
        <x:v>TR</x:v>
      </x:c>
      <x:c r="B15" s="26" t="n">
        <x:f>'Paper_W_35x35'!L38/SUM('Paper_W_35x35'!L38,'Paper_W_35x35'!U38,'Paper_W_35x35'!M38,'Paper_W_35x35'!N38,'Paper_W_35x35'!W38,'Paper_W_35x35'!R38,'Paper_W_35x35'!O38,'Paper_W_35x35'!Z38,'Paper_W_35x35'!P38,'Paper_W_35x35'!AF38,'Paper_W_35x35'!AI38,'Paper_W_35x35'!S38,'Paper_W_35x35'!AH38)</x:f>
        <x:v>0.014316682813976847</x:v>
      </x:c>
      <x:c r="C15" s="26" t="n">
        <x:f>'Paper_W_35x35'!U38/SUM('Paper_W_35x35'!L38,'Paper_W_35x35'!U38,'Paper_W_35x35'!M38,'Paper_W_35x35'!N38,'Paper_W_35x35'!W38,'Paper_W_35x35'!R38,'Paper_W_35x35'!O38,'Paper_W_35x35'!Z38,'Paper_W_35x35'!P38,'Paper_W_35x35'!AF38,'Paper_W_35x35'!AI38,'Paper_W_35x35'!S38,'Paper_W_35x35'!AH38)</x:f>
        <x:v>0.024802927207147156</x:v>
      </x:c>
      <x:c r="D15" s="26" t="n">
        <x:f>'Paper_W_35x35'!M38/SUM('Paper_W_35x35'!L38,'Paper_W_35x35'!U38,'Paper_W_35x35'!M38,'Paper_W_35x35'!N38,'Paper_W_35x35'!W38,'Paper_W_35x35'!R38,'Paper_W_35x35'!O38,'Paper_W_35x35'!Z38,'Paper_W_35x35'!P38,'Paper_W_35x35'!AF38,'Paper_W_35x35'!AI38,'Paper_W_35x35'!S38,'Paper_W_35x35'!AH38)</x:f>
        <x:v>0.021995376344617287</x:v>
      </x:c>
      <x:c r="E15" s="26" t="n">
        <x:f>'Paper_W_35x35'!N38/SUM('Paper_W_35x35'!L38,'Paper_W_35x35'!U38,'Paper_W_35x35'!M38,'Paper_W_35x35'!N38,'Paper_W_35x35'!W38,'Paper_W_35x35'!R38,'Paper_W_35x35'!O38,'Paper_W_35x35'!Z38,'Paper_W_35x35'!P38,'Paper_W_35x35'!AF38,'Paper_W_35x35'!AI38,'Paper_W_35x35'!S38,'Paper_W_35x35'!AH38)</x:f>
        <x:v>0.09208323657673431</x:v>
      </x:c>
      <x:c r="F15" s="26" t="n">
        <x:f>'Paper_W_35x35'!W38/SUM('Paper_W_35x35'!L38,'Paper_W_35x35'!U38,'Paper_W_35x35'!M38,'Paper_W_35x35'!N38,'Paper_W_35x35'!W38,'Paper_W_35x35'!R38,'Paper_W_35x35'!O38,'Paper_W_35x35'!Z38,'Paper_W_35x35'!P38,'Paper_W_35x35'!AF38,'Paper_W_35x35'!AI38,'Paper_W_35x35'!S38,'Paper_W_35x35'!AH38)</x:f>
        <x:v>0.21596222622374078</x:v>
      </x:c>
      <x:c r="G15" s="26" t="n">
        <x:f>'Paper_W_35x35'!R38/SUM('Paper_W_35x35'!L38,'Paper_W_35x35'!U38,'Paper_W_35x35'!M38,'Paper_W_35x35'!N38,'Paper_W_35x35'!W38,'Paper_W_35x35'!R38,'Paper_W_35x35'!O38,'Paper_W_35x35'!Z38,'Paper_W_35x35'!P38,'Paper_W_35x35'!AF38,'Paper_W_35x35'!AI38,'Paper_W_35x35'!S38,'Paper_W_35x35'!AH38)</x:f>
        <x:v>0.20232916527614148</x:v>
      </x:c>
      <x:c r="H15" s="26" t="n">
        <x:f>'Paper_W_35x35'!O38/SUM('Paper_W_35x35'!L38,'Paper_W_35x35'!U38,'Paper_W_35x35'!M38,'Paper_W_35x35'!N38,'Paper_W_35x35'!W38,'Paper_W_35x35'!R38,'Paper_W_35x35'!O38,'Paper_W_35x35'!Z38,'Paper_W_35x35'!P38,'Paper_W_35x35'!AF38,'Paper_W_35x35'!AI38,'Paper_W_35x35'!S38,'Paper_W_35x35'!AH38)</x:f>
        <x:v>0.06209505398232196</x:v>
      </x:c>
      <x:c r="I15" s="26" t="n">
        <x:f>'Paper_W_35x35'!Z38/SUM('Paper_W_35x35'!L38,'Paper_W_35x35'!U38,'Paper_W_35x35'!M38,'Paper_W_35x35'!N38,'Paper_W_35x35'!W38,'Paper_W_35x35'!R38,'Paper_W_35x35'!O38,'Paper_W_35x35'!Z38,'Paper_W_35x35'!P38,'Paper_W_35x35'!AF38,'Paper_W_35x35'!AI38,'Paper_W_35x35'!S38,'Paper_W_35x35'!AH38)</x:f>
        <x:v>0.06840650378020734</x:v>
      </x:c>
      <x:c r="J15" s="26" t="n">
        <x:f>'Paper_W_35x35'!P38/SUM('Paper_W_35x35'!L38,'Paper_W_35x35'!U38,'Paper_W_35x35'!M38,'Paper_W_35x35'!N38,'Paper_W_35x35'!W38,'Paper_W_35x35'!R38,'Paper_W_35x35'!O38,'Paper_W_35x35'!Z38,'Paper_W_35x35'!P38,'Paper_W_35x35'!AF38,'Paper_W_35x35'!AI38,'Paper_W_35x35'!S38,'Paper_W_35x35'!AH38)</x:f>
        <x:v>0.016193573684959914</x:v>
      </x:c>
      <x:c r="K15" s="26" t="n">
        <x:f>'Paper_W_35x35'!AF38/SUM('Paper_W_35x35'!L38,'Paper_W_35x35'!U38,'Paper_W_35x35'!M38,'Paper_W_35x35'!N38,'Paper_W_35x35'!W38,'Paper_W_35x35'!R38,'Paper_W_35x35'!O38,'Paper_W_35x35'!Z38,'Paper_W_35x35'!P38,'Paper_W_35x35'!AF38,'Paper_W_35x35'!AI38,'Paper_W_35x35'!S38,'Paper_W_35x35'!AH38)</x:f>
        <x:v>0.01092552309574404</x:v>
      </x:c>
      <x:c r="L15" s="26" t="n">
        <x:f>'Paper_W_35x35'!AI38/SUM('Paper_W_35x35'!L38,'Paper_W_35x35'!U38,'Paper_W_35x35'!M38,'Paper_W_35x35'!N38,'Paper_W_35x35'!W38,'Paper_W_35x35'!R38,'Paper_W_35x35'!O38,'Paper_W_35x35'!Z38,'Paper_W_35x35'!P38,'Paper_W_35x35'!AF38,'Paper_W_35x35'!AI38,'Paper_W_35x35'!S38,'Paper_W_35x35'!AH38)</x:f>
        <x:v>0</x:v>
      </x:c>
      <x:c r="M15" s="26" t="n">
        <x:f>'Paper_W_35x35'!S38/SUM('Paper_W_35x35'!L38,'Paper_W_35x35'!U38,'Paper_W_35x35'!M38,'Paper_W_35x35'!N38,'Paper_W_35x35'!W38,'Paper_W_35x35'!R38,'Paper_W_35x35'!O38,'Paper_W_35x35'!Z38,'Paper_W_35x35'!P38,'Paper_W_35x35'!AF38,'Paper_W_35x35'!AI38,'Paper_W_35x35'!S38,'Paper_W_35x35'!AH38)</x:f>
        <x:v>0.24139816991162474</x:v>
      </x:c>
      <x:c r="N15" s="26" t="n">
        <x:f>'Paper_W_35x35'!AH38/SUM('Paper_W_35x35'!L38,'Paper_W_35x35'!U38,'Paper_W_35x35'!M38,'Paper_W_35x35'!N38,'Paper_W_35x35'!W38,'Paper_W_35x35'!R38,'Paper_W_35x35'!O38,'Paper_W_35x35'!Z38,'Paper_W_35x35'!P38,'Paper_W_35x35'!AF38,'Paper_W_35x35'!AI38,'Paper_W_35x35'!S38,'Paper_W_35x35'!AH38)</x:f>
        <x:v>0.02949156110278418</x:v>
      </x:c>
      <x:c r="O15" s="26" t="n">
        <x:f>SUM(B15:N15)</x:f>
        <x:v>0.9999999999999999</x:v>
      </x:c>
    </x:row>
    <x:row r="16">
      <x:c r="A16" t="str">
        <x:v>US</x:v>
      </x:c>
      <x:c r="B16" s="26" t="n">
        <x:f>'Paper_W_35x35'!L22/SUM('Paper_W_35x35'!L22,'Paper_W_35x35'!U22,'Paper_W_35x35'!M22,'Paper_W_35x35'!N22,'Paper_W_35x35'!W22,'Paper_W_35x35'!R22,'Paper_W_35x35'!O22,'Paper_W_35x35'!Z22,'Paper_W_35x35'!P22,'Paper_W_35x35'!AF22,'Paper_W_35x35'!AI22,'Paper_W_35x35'!S22,'Paper_W_35x35'!AH22)</x:f>
        <x:v>0.019579263315399553</x:v>
      </x:c>
      <x:c r="C16" s="26" t="n">
        <x:f>'Paper_W_35x35'!U22/SUM('Paper_W_35x35'!L22,'Paper_W_35x35'!U22,'Paper_W_35x35'!M22,'Paper_W_35x35'!N22,'Paper_W_35x35'!W22,'Paper_W_35x35'!R22,'Paper_W_35x35'!O22,'Paper_W_35x35'!Z22,'Paper_W_35x35'!P22,'Paper_W_35x35'!AF22,'Paper_W_35x35'!AI22,'Paper_W_35x35'!S22,'Paper_W_35x35'!AH22)</x:f>
        <x:v>0.034729912539200686</x:v>
      </x:c>
      <x:c r="D16" s="26" t="n">
        <x:f>'Paper_W_35x35'!M22/SUM('Paper_W_35x35'!L22,'Paper_W_35x35'!U22,'Paper_W_35x35'!M22,'Paper_W_35x35'!N22,'Paper_W_35x35'!W22,'Paper_W_35x35'!R22,'Paper_W_35x35'!O22,'Paper_W_35x35'!Z22,'Paper_W_35x35'!P22,'Paper_W_35x35'!AF22,'Paper_W_35x35'!AI22,'Paper_W_35x35'!S22,'Paper_W_35x35'!AH22)</x:f>
        <x:v>0.36265823659394386</x:v>
      </x:c>
      <x:c r="E16" s="26" t="n">
        <x:f>'Paper_W_35x35'!N22/SUM('Paper_W_35x35'!L22,'Paper_W_35x35'!U22,'Paper_W_35x35'!M22,'Paper_W_35x35'!N22,'Paper_W_35x35'!W22,'Paper_W_35x35'!R22,'Paper_W_35x35'!O22,'Paper_W_35x35'!Z22,'Paper_W_35x35'!P22,'Paper_W_35x35'!AF22,'Paper_W_35x35'!AI22,'Paper_W_35x35'!S22,'Paper_W_35x35'!AH22)</x:f>
        <x:v>0.02247818350799416</x:v>
      </x:c>
      <x:c r="F16" s="26" t="n">
        <x:f>'Paper_W_35x35'!W22/SUM('Paper_W_35x35'!L22,'Paper_W_35x35'!U22,'Paper_W_35x35'!M22,'Paper_W_35x35'!N22,'Paper_W_35x35'!W22,'Paper_W_35x35'!R22,'Paper_W_35x35'!O22,'Paper_W_35x35'!Z22,'Paper_W_35x35'!P22,'Paper_W_35x35'!AF22,'Paper_W_35x35'!AI22,'Paper_W_35x35'!S22,'Paper_W_35x35'!AH22)</x:f>
        <x:v>0.2343554115959211</x:v>
      </x:c>
      <x:c r="G16" s="26" t="n">
        <x:f>'Paper_W_35x35'!R22/SUM('Paper_W_35x35'!L22,'Paper_W_35x35'!U22,'Paper_W_35x35'!M22,'Paper_W_35x35'!N22,'Paper_W_35x35'!W22,'Paper_W_35x35'!R22,'Paper_W_35x35'!O22,'Paper_W_35x35'!Z22,'Paper_W_35x35'!P22,'Paper_W_35x35'!AF22,'Paper_W_35x35'!AI22,'Paper_W_35x35'!S22,'Paper_W_35x35'!AH22)</x:f>
        <x:v>0.07016371751161296</x:v>
      </x:c>
      <x:c r="H16" s="26" t="n">
        <x:f>'Paper_W_35x35'!O22/SUM('Paper_W_35x35'!L22,'Paper_W_35x35'!U22,'Paper_W_35x35'!M22,'Paper_W_35x35'!N22,'Paper_W_35x35'!W22,'Paper_W_35x35'!R22,'Paper_W_35x35'!O22,'Paper_W_35x35'!Z22,'Paper_W_35x35'!P22,'Paper_W_35x35'!AF22,'Paper_W_35x35'!AI22,'Paper_W_35x35'!S22,'Paper_W_35x35'!AH22)</x:f>
        <x:v>0.1456014088105202</x:v>
      </x:c>
      <x:c r="I16" s="26" t="n">
        <x:f>'Paper_W_35x35'!Z22/SUM('Paper_W_35x35'!L22,'Paper_W_35x35'!U22,'Paper_W_35x35'!M22,'Paper_W_35x35'!N22,'Paper_W_35x35'!W22,'Paper_W_35x35'!R22,'Paper_W_35x35'!O22,'Paper_W_35x35'!Z22,'Paper_W_35x35'!P22,'Paper_W_35x35'!AF22,'Paper_W_35x35'!AI22,'Paper_W_35x35'!S22,'Paper_W_35x35'!AH22)</x:f>
        <x:v>0.05702118781775687</x:v>
      </x:c>
      <x:c r="J16" s="26" t="n">
        <x:f>'Paper_W_35x35'!P22/SUM('Paper_W_35x35'!L22,'Paper_W_35x35'!U22,'Paper_W_35x35'!M22,'Paper_W_35x35'!N22,'Paper_W_35x35'!W22,'Paper_W_35x35'!R22,'Paper_W_35x35'!O22,'Paper_W_35x35'!Z22,'Paper_W_35x35'!P22,'Paper_W_35x35'!AF22,'Paper_W_35x35'!AI22,'Paper_W_35x35'!S22,'Paper_W_35x35'!AH22)</x:f>
        <x:v>0.0067019284135741465</x:v>
      </x:c>
      <x:c r="K16" s="26" t="n">
        <x:f>'Paper_W_35x35'!AF22/SUM('Paper_W_35x35'!L22,'Paper_W_35x35'!U22,'Paper_W_35x35'!M22,'Paper_W_35x35'!N22,'Paper_W_35x35'!W22,'Paper_W_35x35'!R22,'Paper_W_35x35'!O22,'Paper_W_35x35'!Z22,'Paper_W_35x35'!P22,'Paper_W_35x35'!AF22,'Paper_W_35x35'!AI22,'Paper_W_35x35'!S22,'Paper_W_35x35'!AH22)</x:f>
        <x:v>0.029993929545998877</x:v>
      </x:c>
      <x:c r="L16" s="26" t="n">
        <x:f>'Paper_W_35x35'!AI22/SUM('Paper_W_35x35'!L22,'Paper_W_35x35'!U22,'Paper_W_35x35'!M22,'Paper_W_35x35'!N22,'Paper_W_35x35'!W22,'Paper_W_35x35'!R22,'Paper_W_35x35'!O22,'Paper_W_35x35'!Z22,'Paper_W_35x35'!P22,'Paper_W_35x35'!AF22,'Paper_W_35x35'!AI22,'Paper_W_35x35'!S22,'Paper_W_35x35'!AH22)</x:f>
        <x:v>0.008325980311482031</x:v>
      </x:c>
      <x:c r="M16" s="26" t="n">
        <x:f>'Paper_W_35x35'!S22/SUM('Paper_W_35x35'!L22,'Paper_W_35x35'!U22,'Paper_W_35x35'!M22,'Paper_W_35x35'!N22,'Paper_W_35x35'!W22,'Paper_W_35x35'!R22,'Paper_W_35x35'!O22,'Paper_W_35x35'!Z22,'Paper_W_35x35'!P22,'Paper_W_35x35'!AF22,'Paper_W_35x35'!AI22,'Paper_W_35x35'!S22,'Paper_W_35x35'!AH22)</x:f>
        <x:v>0</x:v>
      </x:c>
      <x:c r="N16" s="26" t="n">
        <x:f>'Paper_W_35x35'!AH22/SUM('Paper_W_35x35'!L22,'Paper_W_35x35'!U22,'Paper_W_35x35'!M22,'Paper_W_35x35'!N22,'Paper_W_35x35'!W22,'Paper_W_35x35'!R22,'Paper_W_35x35'!O22,'Paper_W_35x35'!Z22,'Paper_W_35x35'!P22,'Paper_W_35x35'!AF22,'Paper_W_35x35'!AI22,'Paper_W_35x35'!S22,'Paper_W_35x35'!AH22)</x:f>
        <x:v>0.00839084003659567</x:v>
      </x:c>
      <x:c r="O16" s="26" t="n">
        <x:f>SUM(B16:N16)</x:f>
        <x:v>1.0000000000000002</x:v>
      </x:c>
    </x:row>
    <x:row r="17">
      <x:c r="A17" t="str">
        <x:v>ZA</x:v>
      </x:c>
      <x:c r="B17" s="26" t="n">
        <x:f>'Paper_W_35x35'!L37/SUM('Paper_W_35x35'!L37,'Paper_W_35x35'!U37,'Paper_W_35x35'!M37,'Paper_W_35x35'!N37,'Paper_W_35x35'!W37,'Paper_W_35x35'!R37,'Paper_W_35x35'!O37,'Paper_W_35x35'!Z37,'Paper_W_35x35'!P37,'Paper_W_35x35'!AF37,'Paper_W_35x35'!AI37,'Paper_W_35x35'!S37,'Paper_W_35x35'!AH37)</x:f>
        <x:v>0.044311222913788716</x:v>
      </x:c>
      <x:c r="C17" s="26" t="n">
        <x:f>'Paper_W_35x35'!U37/SUM('Paper_W_35x35'!L37,'Paper_W_35x35'!U37,'Paper_W_35x35'!M37,'Paper_W_35x35'!N37,'Paper_W_35x35'!W37,'Paper_W_35x35'!R37,'Paper_W_35x35'!O37,'Paper_W_35x35'!Z37,'Paper_W_35x35'!P37,'Paper_W_35x35'!AF37,'Paper_W_35x35'!AI37,'Paper_W_35x35'!S37,'Paper_W_35x35'!AH37)</x:f>
        <x:v>0.033505711358297836</x:v>
      </x:c>
      <x:c r="D17" s="26" t="n">
        <x:f>'Paper_W_35x35'!M37/SUM('Paper_W_35x35'!L37,'Paper_W_35x35'!U37,'Paper_W_35x35'!M37,'Paper_W_35x35'!N37,'Paper_W_35x35'!W37,'Paper_W_35x35'!R37,'Paper_W_35x35'!O37,'Paper_W_35x35'!Z37,'Paper_W_35x35'!P37,'Paper_W_35x35'!AF37,'Paper_W_35x35'!AI37,'Paper_W_35x35'!S37,'Paper_W_35x35'!AH37)</x:f>
        <x:v>0.023014405235361395</x:v>
      </x:c>
      <x:c r="E17" s="26" t="n">
        <x:f>'Paper_W_35x35'!N37/SUM('Paper_W_35x35'!L37,'Paper_W_35x35'!U37,'Paper_W_35x35'!M37,'Paper_W_35x35'!N37,'Paper_W_35x35'!W37,'Paper_W_35x35'!R37,'Paper_W_35x35'!O37,'Paper_W_35x35'!Z37,'Paper_W_35x35'!P37,'Paper_W_35x35'!AF37,'Paper_W_35x35'!AI37,'Paper_W_35x35'!S37,'Paper_W_35x35'!AH37)</x:f>
        <x:v>0.04053707159652188</x:v>
      </x:c>
      <x:c r="F17" s="26" t="n">
        <x:f>'Paper_W_35x35'!W37/SUM('Paper_W_35x35'!L37,'Paper_W_35x35'!U37,'Paper_W_35x35'!M37,'Paper_W_35x35'!N37,'Paper_W_35x35'!W37,'Paper_W_35x35'!R37,'Paper_W_35x35'!O37,'Paper_W_35x35'!Z37,'Paper_W_35x35'!P37,'Paper_W_35x35'!AF37,'Paper_W_35x35'!AI37,'Paper_W_35x35'!S37,'Paper_W_35x35'!AH37)</x:f>
        <x:v>0.22834419045066137</x:v>
      </x:c>
      <x:c r="G17" s="26" t="n">
        <x:f>'Paper_W_35x35'!R37/SUM('Paper_W_35x35'!L37,'Paper_W_35x35'!U37,'Paper_W_35x35'!M37,'Paper_W_35x35'!N37,'Paper_W_35x35'!W37,'Paper_W_35x35'!R37,'Paper_W_35x35'!O37,'Paper_W_35x35'!Z37,'Paper_W_35x35'!P37,'Paper_W_35x35'!AF37,'Paper_W_35x35'!AI37,'Paper_W_35x35'!S37,'Paper_W_35x35'!AH37)</x:f>
        <x:v>0.15127480265583945</x:v>
      </x:c>
      <x:c r="H17" s="26" t="n">
        <x:f>'Paper_W_35x35'!O37/SUM('Paper_W_35x35'!L37,'Paper_W_35x35'!U37,'Paper_W_35x35'!M37,'Paper_W_35x35'!N37,'Paper_W_35x35'!W37,'Paper_W_35x35'!R37,'Paper_W_35x35'!O37,'Paper_W_35x35'!Z37,'Paper_W_35x35'!P37,'Paper_W_35x35'!AF37,'Paper_W_35x35'!AI37,'Paper_W_35x35'!S37,'Paper_W_35x35'!AH37)</x:f>
        <x:v>0.17011946146574838</x:v>
      </x:c>
      <x:c r="I17" s="26" t="n">
        <x:f>'Paper_W_35x35'!Z37/SUM('Paper_W_35x35'!L37,'Paper_W_35x35'!U37,'Paper_W_35x35'!M37,'Paper_W_35x35'!N37,'Paper_W_35x35'!W37,'Paper_W_35x35'!R37,'Paper_W_35x35'!O37,'Paper_W_35x35'!Z37,'Paper_W_35x35'!P37,'Paper_W_35x35'!AF37,'Paper_W_35x35'!AI37,'Paper_W_35x35'!S37,'Paper_W_35x35'!AH37)</x:f>
        <x:v>0.05004772059514135</x:v>
      </x:c>
      <x:c r="J17" s="26" t="n">
        <x:f>'Paper_W_35x35'!P37/SUM('Paper_W_35x35'!L37,'Paper_W_35x35'!U37,'Paper_W_35x35'!M37,'Paper_W_35x35'!N37,'Paper_W_35x35'!W37,'Paper_W_35x35'!R37,'Paper_W_35x35'!O37,'Paper_W_35x35'!Z37,'Paper_W_35x35'!P37,'Paper_W_35x35'!AF37,'Paper_W_35x35'!AI37,'Paper_W_35x35'!S37,'Paper_W_35x35'!AH37)</x:f>
        <x:v>0.004716472724801012</x:v>
      </x:c>
      <x:c r="K17" s="26" t="n">
        <x:f>'Paper_W_35x35'!AF37/SUM('Paper_W_35x35'!L37,'Paper_W_35x35'!U37,'Paper_W_35x35'!M37,'Paper_W_35x35'!N37,'Paper_W_35x35'!W37,'Paper_W_35x35'!R37,'Paper_W_35x35'!O37,'Paper_W_35x35'!Z37,'Paper_W_35x35'!P37,'Paper_W_35x35'!AF37,'Paper_W_35x35'!AI37,'Paper_W_35x35'!S37,'Paper_W_35x35'!AH37)</x:f>
        <x:v>0.022121920259644854</x:v>
      </x:c>
      <x:c r="L17" s="26" t="n">
        <x:f>'Paper_W_35x35'!AI37/SUM('Paper_W_35x35'!L37,'Paper_W_35x35'!U37,'Paper_W_35x35'!M37,'Paper_W_35x35'!N37,'Paper_W_35x35'!W37,'Paper_W_35x35'!R37,'Paper_W_35x35'!O37,'Paper_W_35x35'!Z37,'Paper_W_35x35'!P37,'Paper_W_35x35'!AF37,'Paper_W_35x35'!AI37,'Paper_W_35x35'!S37,'Paper_W_35x35'!AH37)</x:f>
        <x:v>0.013836982082623198</x:v>
      </x:c>
      <x:c r="M17" s="26" t="n">
        <x:f>'Paper_W_35x35'!S37/SUM('Paper_W_35x35'!L37,'Paper_W_35x35'!U37,'Paper_W_35x35'!M37,'Paper_W_35x35'!N37,'Paper_W_35x35'!W37,'Paper_W_35x35'!R37,'Paper_W_35x35'!O37,'Paper_W_35x35'!Z37,'Paper_W_35x35'!P37,'Paper_W_35x35'!AF37,'Paper_W_35x35'!AI37,'Paper_W_35x35'!S37,'Paper_W_35x35'!AH37)</x:f>
        <x:v>0.21817003866157034</x:v>
      </x:c>
      <x:c r="N17" s="26" t="n">
        <x:f>'Paper_W_35x35'!AH37/SUM('Paper_W_35x35'!L37,'Paper_W_35x35'!U37,'Paper_W_35x35'!M37,'Paper_W_35x35'!N37,'Paper_W_35x35'!W37,'Paper_W_35x35'!R37,'Paper_W_35x35'!O37,'Paper_W_35x35'!Z37,'Paper_W_35x35'!P37,'Paper_W_35x35'!AF37,'Paper_W_35x35'!AI37,'Paper_W_35x35'!S37,'Paper_W_35x35'!AH37)</x:f>
        <x:v>0</x:v>
      </x:c>
      <x:c r="O17" s="26" t="n">
        <x:f>SUM(B17:N17)</x:f>
        <x:v>0.9999999999999999</x:v>
      </x:c>
    </x:row>
  </x:sheetData>
  <x:mergeCells>
    <x:mergeCell ref="A1:O1"/>
    <x:mergeCell ref="A2:O2"/>
  </x:mergeCells>
  <x:conditionalFormatting sqref="B5:N17">
    <x:cfRule type="colorScale" priority="1">
      <x:colorScale>
        <x:cfvo type="min"/>
        <x:cfvo type="percentile" val="50"/>
        <x:cfvo type="max"/>
        <x:color rgb="FFFFFFFF"/>
        <x:color rgb="FFDDEBF7"/>
        <x:color rgb="FF5B9BD5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36" hidden="0" customWidth="1"/>
    <x:col min="5" max="5" width="22" hidden="0" customWidth="1"/>
    <x:col min="6" max="6" width="48" hidden="0" customWidth="1"/>
  </x:cols>
  <x:sheetData>
    <x:row r="1" ht="26" customHeight="1">
      <x:c r="A1" s="20" t="str">
        <x:v>Euro Area aggregation status</x:v>
      </x:c>
      <x:c r="B1" s="20"/>
      <x:c r="C1" s="20"/>
      <x:c r="D1" s="20"/>
      <x:c r="E1" s="20"/>
      <x:c r="F1" s="20"/>
    </x:row>
    <x:row r="2">
      <x:c r="A2" s="36" t="str">
        <x:v>The reference paper has no single EA node. The 10 euro-area member models in its 35-country system are AT, BE, DE, ES, FI, FR, GR, IT, NL, PT. Their summed shares below are diagnostic only and are not the final EA weight.</x:v>
      </x:c>
    </x:row>
    <x:row r="4">
      <x:c r="A4" s="12" t="str">
        <x:v>Reporter</x:v>
      </x:c>
      <x:c r="B4" s="12" t="str">
        <x:v>Paper source code</x:v>
      </x:c>
      <x:c r="C4" s="12" t="str">
        <x:v>Paper_EA10 share</x:v>
      </x:c>
      <x:c r="D4" s="12" t="str">
        <x:v>EA10 members</x:v>
      </x:c>
      <x:c r="E4" s="12" t="str">
        <x:v>Final EA status</x:v>
      </x:c>
      <x:c r="F4" s="12" t="str">
        <x:v>Required raw-data action</x:v>
      </x:c>
    </x:row>
    <x:row r="5">
      <x:c r="A5" t="str">
        <x:v>AU</x:v>
      </x:c>
      <x:c r="B5" t="str">
        <x:v>AU</x:v>
      </x:c>
      <x:c r="C5" s="26" t="n">
        <x:f>SUM('Paper_W_35x35'!B15,'Paper_W_35x35'!C15,'Paper_W_35x35'!D15,'Paper_W_35x35'!E15,'Paper_W_35x35'!F15,'Paper_W_35x35'!G15,'Paper_W_35x35'!H15,'Paper_W_35x35'!I15,'Paper_W_35x35'!J15,'Paper_W_35x35'!K15)</x:f>
        <x:v>0.11573165566437446</x:v>
      </x:c>
      <x:c r="D5" t="str">
        <x:v>AT, BE, DE, ES, FI, FR, GR, IT, NL, PT</x:v>
      </x:c>
      <x:c r="E5" t="str">
        <x:v>PENDING — do not infer</x:v>
      </x:c>
      <x:c r="F5" t="str">
        <x:v>Obtain official EA↔partner annual bilateral exports/imports, 2000–2014</x:v>
      </x:c>
    </x:row>
    <x:row r="6">
      <x:c r="A6" t="str">
        <x:v>BR</x:v>
      </x:c>
      <x:c r="B6" t="str">
        <x:v>BR</x:v>
      </x:c>
      <x:c r="C6" s="26" t="n">
        <x:f>SUM('Paper_W_35x35'!B24,'Paper_W_35x35'!C24,'Paper_W_35x35'!D24,'Paper_W_35x35'!E24,'Paper_W_35x35'!F24,'Paper_W_35x35'!G24,'Paper_W_35x35'!H24,'Paper_W_35x35'!I24,'Paper_W_35x35'!J24,'Paper_W_35x35'!K24)</x:f>
        <x:v>0.23583529981855847</x:v>
      </x:c>
      <x:c r="D6" t="str">
        <x:v>AT, BE, DE, ES, FI, FR, GR, IT, NL, PT</x:v>
      </x:c>
      <x:c r="E6" t="str">
        <x:v>PENDING — do not infer</x:v>
      </x:c>
      <x:c r="F6" t="str">
        <x:v>Obtain official EA↔partner annual bilateral exports/imports, 2000–2014</x:v>
      </x:c>
    </x:row>
    <x:row r="7">
      <x:c r="A7" t="str">
        <x:v>CA</x:v>
      </x:c>
      <x:c r="B7" t="str">
        <x:v>CA</x:v>
      </x:c>
      <x:c r="C7" s="26" t="n">
        <x:f>SUM('Paper_W_35x35'!B16,'Paper_W_35x35'!C16,'Paper_W_35x35'!D16,'Paper_W_35x35'!E16,'Paper_W_35x35'!F16,'Paper_W_35x35'!G16,'Paper_W_35x35'!H16,'Paper_W_35x35'!I16,'Paper_W_35x35'!J16,'Paper_W_35x35'!K16)</x:f>
        <x:v>0.05773828136480142</x:v>
      </x:c>
      <x:c r="D7" t="str">
        <x:v>AT, BE, DE, ES, FI, FR, GR, IT, NL, PT</x:v>
      </x:c>
      <x:c r="E7" t="str">
        <x:v>PENDING — do not infer</x:v>
      </x:c>
      <x:c r="F7" t="str">
        <x:v>Obtain official EA↔partner annual bilateral exports/imports, 2000–2014</x:v>
      </x:c>
    </x:row>
    <x:row r="8">
      <x:c r="A8" t="str">
        <x:v>CH</x:v>
      </x:c>
      <x:c r="B8" t="str">
        <x:v>CH</x:v>
      </x:c>
      <x:c r="C8" s="26" t="n">
        <x:f>SUM('Paper_W_35x35'!B17,'Paper_W_35x35'!C17,'Paper_W_35x35'!D17,'Paper_W_35x35'!E17,'Paper_W_35x35'!F17,'Paper_W_35x35'!G17,'Paper_W_35x35'!H17,'Paper_W_35x35'!I17,'Paper_W_35x35'!J17,'Paper_W_35x35'!K17)</x:f>
        <x:v>0.6711099521765845</x:v>
      </x:c>
      <x:c r="D8" t="str">
        <x:v>AT, BE, DE, ES, FI, FR, GR, IT, NL, PT</x:v>
      </x:c>
      <x:c r="E8" t="str">
        <x:v>PENDING — do not infer</x:v>
      </x:c>
      <x:c r="F8" t="str">
        <x:v>Obtain official EA↔partner annual bilateral exports/imports, 2000–2014</x:v>
      </x:c>
    </x:row>
    <x:row r="9">
      <x:c r="A9" t="str">
        <x:v>CN</x:v>
      </x:c>
      <x:c r="B9" t="str">
        <x:v>CN</x:v>
      </x:c>
      <x:c r="C9" s="26" t="n">
        <x:f>SUM('Paper_W_35x35'!B26,'Paper_W_35x35'!C26,'Paper_W_35x35'!D26,'Paper_W_35x35'!E26,'Paper_W_35x35'!F26,'Paper_W_35x35'!G26,'Paper_W_35x35'!H26,'Paper_W_35x35'!I26,'Paper_W_35x35'!J26,'Paper_W_35x35'!K26)</x:f>
        <x:v>0.17377471496799002</x:v>
      </x:c>
      <x:c r="D9" t="str">
        <x:v>AT, BE, DE, ES, FI, FR, GR, IT, NL, PT</x:v>
      </x:c>
      <x:c r="E9" t="str">
        <x:v>PENDING — do not infer</x:v>
      </x:c>
      <x:c r="F9" t="str">
        <x:v>Obtain official EA↔partner annual bilateral exports/imports, 2000–2014</x:v>
      </x:c>
    </x:row>
    <x:row r="10">
      <x:c r="A10" t="str">
        <x:v>UK</x:v>
      </x:c>
      <x:c r="B10" t="str">
        <x:v>GB</x:v>
      </x:c>
      <x:c r="C10" s="26" t="n">
        <x:f>SUM('Paper_W_35x35'!B21,'Paper_W_35x35'!C21,'Paper_W_35x35'!D21,'Paper_W_35x35'!E21,'Paper_W_35x35'!F21,'Paper_W_35x35'!G21,'Paper_W_35x35'!H21,'Paper_W_35x35'!I21,'Paper_W_35x35'!J21,'Paper_W_35x35'!K21)</x:f>
        <x:v>0.5269569421929352</x:v>
      </x:c>
      <x:c r="D10" t="str">
        <x:v>AT, BE, DE, ES, FI, FR, GR, IT, NL, PT</x:v>
      </x:c>
      <x:c r="E10" t="str">
        <x:v>PENDING — do not infer</x:v>
      </x:c>
      <x:c r="F10" t="str">
        <x:v>Obtain official EA↔partner annual bilateral exports/imports, 2000–2014</x:v>
      </x:c>
    </x:row>
    <x:row r="11">
      <x:c r="A11" t="str">
        <x:v>JP</x:v>
      </x:c>
      <x:c r="B11" t="str">
        <x:v>JP</x:v>
      </x:c>
      <x:c r="C11" s="26" t="n">
        <x:f>SUM('Paper_W_35x35'!B18,'Paper_W_35x35'!C18,'Paper_W_35x35'!D18,'Paper_W_35x35'!E18,'Paper_W_35x35'!F18,'Paper_W_35x35'!G18,'Paper_W_35x35'!H18,'Paper_W_35x35'!I18,'Paper_W_35x35'!J18,'Paper_W_35x35'!K18)</x:f>
        <x:v>0.11513888671895899</x:v>
      </x:c>
      <x:c r="D11" t="str">
        <x:v>AT, BE, DE, ES, FI, FR, GR, IT, NL, PT</x:v>
      </x:c>
      <x:c r="E11" t="str">
        <x:v>PENDING — do not infer</x:v>
      </x:c>
      <x:c r="F11" t="str">
        <x:v>Obtain official EA↔partner annual bilateral exports/imports, 2000–2014</x:v>
      </x:c>
    </x:row>
    <x:row r="12">
      <x:c r="A12" t="str">
        <x:v>KR</x:v>
      </x:c>
      <x:c r="B12" t="str">
        <x:v>KR</x:v>
      </x:c>
      <x:c r="C12" s="26" t="n">
        <x:f>SUM('Paper_W_35x35'!B29,'Paper_W_35x35'!C29,'Paper_W_35x35'!D29,'Paper_W_35x35'!E29,'Paper_W_35x35'!F29,'Paper_W_35x35'!G29,'Paper_W_35x35'!H29,'Paper_W_35x35'!I29,'Paper_W_35x35'!J29,'Paper_W_35x35'!K29)</x:f>
        <x:v>0.10447722014367383</x:v>
      </x:c>
      <x:c r="D12" t="str">
        <x:v>AT, BE, DE, ES, FI, FR, GR, IT, NL, PT</x:v>
      </x:c>
      <x:c r="E12" t="str">
        <x:v>PENDING — do not infer</x:v>
      </x:c>
      <x:c r="F12" t="str">
        <x:v>Obtain official EA↔partner annual bilateral exports/imports, 2000–2014</x:v>
      </x:c>
    </x:row>
    <x:row r="13">
      <x:c r="A13" t="str">
        <x:v>NO</x:v>
      </x:c>
      <x:c r="B13" t="str">
        <x:v>NO</x:v>
      </x:c>
      <x:c r="C13" s="26" t="n">
        <x:f>SUM('Paper_W_35x35'!B19,'Paper_W_35x35'!C19,'Paper_W_35x35'!D19,'Paper_W_35x35'!E19,'Paper_W_35x35'!F19,'Paper_W_35x35'!G19,'Paper_W_35x35'!H19,'Paper_W_35x35'!I19,'Paper_W_35x35'!J19,'Paper_W_35x35'!K19)</x:f>
        <x:v>0.4249890378618866</x:v>
      </x:c>
      <x:c r="D13" t="str">
        <x:v>AT, BE, DE, ES, FI, FR, GR, IT, NL, PT</x:v>
      </x:c>
      <x:c r="E13" t="str">
        <x:v>PENDING — do not infer</x:v>
      </x:c>
      <x:c r="F13" t="str">
        <x:v>Obtain official EA↔partner annual bilateral exports/imports, 2000–2014</x:v>
      </x:c>
    </x:row>
    <x:row r="14">
      <x:c r="A14" t="str">
        <x:v>SG</x:v>
      </x:c>
      <x:c r="B14" t="str">
        <x:v>SG</x:v>
      </x:c>
      <x:c r="C14" s="26" t="n">
        <x:f>SUM('Paper_W_35x35'!B35,'Paper_W_35x35'!C35,'Paper_W_35x35'!D35,'Paper_W_35x35'!E35,'Paper_W_35x35'!F35,'Paper_W_35x35'!G35,'Paper_W_35x35'!H35,'Paper_W_35x35'!I35,'Paper_W_35x35'!J35,'Paper_W_35x35'!K35)</x:f>
        <x:v>0.1053703253143342</x:v>
      </x:c>
      <x:c r="D14" t="str">
        <x:v>AT, BE, DE, ES, FI, FR, GR, IT, NL, PT</x:v>
      </x:c>
      <x:c r="E14" t="str">
        <x:v>PENDING — do not infer</x:v>
      </x:c>
      <x:c r="F14" t="str">
        <x:v>Obtain official EA↔partner annual bilateral exports/imports, 2000–2014</x:v>
      </x:c>
    </x:row>
    <x:row r="15">
      <x:c r="A15" t="str">
        <x:v>TR</x:v>
      </x:c>
      <x:c r="B15" t="str">
        <x:v>TR</x:v>
      </x:c>
      <x:c r="C15" s="26" t="n">
        <x:f>SUM('Paper_W_35x35'!B38,'Paper_W_35x35'!C38,'Paper_W_35x35'!D38,'Paper_W_35x35'!E38,'Paper_W_35x35'!F38,'Paper_W_35x35'!G38,'Paper_W_35x35'!H38,'Paper_W_35x35'!I38,'Paper_W_35x35'!J38,'Paper_W_35x35'!K38)</x:f>
        <x:v>0.5215086901673577</x:v>
      </x:c>
      <x:c r="D15" t="str">
        <x:v>AT, BE, DE, ES, FI, FR, GR, IT, NL, PT</x:v>
      </x:c>
      <x:c r="E15" t="str">
        <x:v>PENDING — do not infer</x:v>
      </x:c>
      <x:c r="F15" t="str">
        <x:v>Obtain official EA↔partner annual bilateral exports/imports, 2000–2014</x:v>
      </x:c>
    </x:row>
    <x:row r="16">
      <x:c r="A16" t="str">
        <x:v>US</x:v>
      </x:c>
      <x:c r="B16" t="str">
        <x:v>US</x:v>
      </x:c>
      <x:c r="C16" s="26" t="n">
        <x:f>SUM('Paper_W_35x35'!B22,'Paper_W_35x35'!C22,'Paper_W_35x35'!D22,'Paper_W_35x35'!E22,'Paper_W_35x35'!F22,'Paper_W_35x35'!G22,'Paper_W_35x35'!H22,'Paper_W_35x35'!I22,'Paper_W_35x35'!J22,'Paper_W_35x35'!K22)</x:f>
        <x:v>0.153031818855502</x:v>
      </x:c>
      <x:c r="D16" t="str">
        <x:v>AT, BE, DE, ES, FI, FR, GR, IT, NL, PT</x:v>
      </x:c>
      <x:c r="E16" t="str">
        <x:v>PENDING — do not infer</x:v>
      </x:c>
      <x:c r="F16" t="str">
        <x:v>Obtain official EA↔partner annual bilateral exports/imports, 2000–2014</x:v>
      </x:c>
    </x:row>
    <x:row r="17">
      <x:c r="A17" t="str">
        <x:v>ZA</x:v>
      </x:c>
      <x:c r="B17" t="str">
        <x:v>ZA</x:v>
      </x:c>
      <x:c r="C17" s="26" t="n">
        <x:f>SUM('Paper_W_35x35'!B37,'Paper_W_35x35'!C37,'Paper_W_35x35'!D37,'Paper_W_35x35'!E37,'Paper_W_35x35'!F37,'Paper_W_35x35'!G37,'Paper_W_35x35'!H37,'Paper_W_35x35'!I37,'Paper_W_35x35'!J37,'Paper_W_35x35'!K37)</x:f>
        <x:v>0.30409842031655465</x:v>
      </x:c>
      <x:c r="D17" t="str">
        <x:v>AT, BE, DE, ES, FI, FR, GR, IT, NL, PT</x:v>
      </x:c>
      <x:c r="E17" t="str">
        <x:v>PENDING — do not infer</x:v>
      </x:c>
      <x:c r="F17" t="str">
        <x:v>Obtain official EA↔partner annual bilateral exports/imports, 2000–2014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2" hidden="0" customWidth="1"/>
    <x:col min="3" max="3" width="48" hidden="0" customWidth="1"/>
    <x:col min="4" max="4" width="28" hidden="0" customWidth="1"/>
    <x:col min="5" max="5" width="38" hidden="0" customWidth="1"/>
  </x:cols>
  <x:sheetData>
    <x:row r="1" ht="26" customHeight="1">
      <x:c r="A1" s="20" t="str">
        <x:v>Data provenance and official sources</x:v>
      </x:c>
      <x:c r="B1" s="20"/>
      <x:c r="C1" s="20"/>
      <x:c r="D1" s="20"/>
      <x:c r="E1" s="20"/>
    </x:row>
    <x:row r="3">
      <x:c r="A3" s="12" t="str">
        <x:v>Source</x:v>
      </x:c>
      <x:c r="B3" s="12" t="str">
        <x:v>URL</x:v>
      </x:c>
      <x:c r="C3" s="12" t="str">
        <x:v>Role</x:v>
      </x:c>
      <x:c r="D3" s="12" t="str">
        <x:v>Period / coverage</x:v>
      </x:c>
      <x:c r="E3" s="12" t="str">
        <x:v>Status</x:v>
      </x:c>
    </x:row>
    <x:row r="4">
      <x:c r="A4" t="str">
        <x:v>Reference paper</x:v>
      </x:c>
      <x:c r="B4" t="str">
        <x:v>https://doi.org/10.1111/rssa.12439</x:v>
      </x:c>
      <x:c r="C4" t="str">
        <x:v>Method: fixed weights based on average bilateral annual trade flows</x:v>
      </x:c>
      <x:c r="D4" t="str">
        <x:v>Weights use 2000–2014</x:v>
      </x:c>
      <x:c r="E4" t="str">
        <x:v>Verified in uploaded paper</x:v>
      </x:c>
    </x:row>
    <x:row r="5">
      <x:c r="A5" t="str">
        <x:v>Authors' replication package</x:v>
      </x:c>
      <x:c r="B5" t="str">
        <x:v>https://drive.google.com/file/d/1rVb5xVuBQgqKT-UCgxRtHwrwUg-unZVw/view?usp=sharing</x:v>
      </x:c>
      <x:c r="C5" t="str">
        <x:v>Exact stored 35×35 GVAR trade-weight matrix</x:v>
      </x:c>
      <x:c r="D5" t="str">
        <x:v>Paper replication files</x:v>
      </x:c>
      <x:c r="E5" t="str">
        <x:v>Downloaded; SHA-256 in README</x:v>
      </x:c>
    </x:row>
    <x:row r="6">
      <x:c r="A6" t="str">
        <x:v>IMF IMTS (formerly DOTS)</x:v>
      </x:c>
      <x:c r="B6" t="str">
        <x:v>https://data.imf.org/en/datasets/IMF.STA%3AIMTS</x:v>
      </x:c>
      <x:c r="C6" t="str">
        <x:v>Primary raw source for merchandise exports/imports by trading partner</x:v>
      </x:c>
      <x:c r="D6" t="str">
        <x:v>Target: annual 2000–2014</x:v>
      </x:c>
      <x:c r="E6" t="str">
        <x:v>Official source identified; raw EA extraction pending</x:v>
      </x:c>
    </x:row>
    <x:row r="7">
      <x:c r="A7" t="str">
        <x:v>UN Comtrade</x:v>
      </x:c>
      <x:c r="B7" t="str">
        <x:v>https://uncomtrade.org/</x:v>
      </x:c>
      <x:c r="C7" t="str">
        <x:v>Fallback official bilateral merchandise trade source</x:v>
      </x:c>
      <x:c r="D7" t="str">
        <x:v>Target: annual 2000–2014</x:v>
      </x:c>
      <x:c r="E7" t="str">
        <x:v>Use if IMF has gaps/access issues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46" hidden="0" customWidth="1"/>
  </x:cols>
  <x:sheetData>
    <x:row r="1" ht="28" customHeight="1">
      <x:c r="A1" s="43" t="str">
        <x:v>14-node collapsed inputs used for normalization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</x:row>
    <x:row r="2" ht="28" customHeight="1">
      <x:c r="A2" s="47" t="str">
        <x:v>Non-EA rows: exact collapsed numerators from authors' 35×35 W. EA row: provisional reconstructed bilateral index (NOT official USD trade data).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</x:row>
    <x:row r="4">
      <x:c r="A4" s="52" t="str">
        <x:v>Reporter</x:v>
      </x:c>
      <x:c r="B4" s="52" t="str">
        <x:v>AU</x:v>
      </x:c>
      <x:c r="C4" s="52" t="str">
        <x:v>BR</x:v>
      </x:c>
      <x:c r="D4" s="52" t="str">
        <x:v>CA</x:v>
      </x:c>
      <x:c r="E4" s="52" t="str">
        <x:v>CH</x:v>
      </x:c>
      <x:c r="F4" s="52" t="str">
        <x:v>CN</x:v>
      </x:c>
      <x:c r="G4" s="52" t="str">
        <x:v>EA</x:v>
      </x:c>
      <x:c r="H4" s="52" t="str">
        <x:v>UK</x:v>
      </x:c>
      <x:c r="I4" s="52" t="str">
        <x:v>JP</x:v>
      </x:c>
      <x:c r="J4" s="52" t="str">
        <x:v>KR</x:v>
      </x:c>
      <x:c r="K4" s="52" t="str">
        <x:v>NO</x:v>
      </x:c>
      <x:c r="L4" s="52" t="str">
        <x:v>SG</x:v>
      </x:c>
      <x:c r="M4" s="52" t="str">
        <x:v>TR</x:v>
      </x:c>
      <x:c r="N4" s="52" t="str">
        <x:v>US</x:v>
      </x:c>
      <x:c r="O4" s="52" t="str">
        <x:v>ZA</x:v>
      </x:c>
      <x:c r="P4" s="52" t="str">
        <x:v>Selected numerator sum</x:v>
      </x:c>
      <x:c r="Q4" s="52" t="str">
        <x:v>Input status</x:v>
      </x:c>
    </x:row>
    <x:row r="5">
      <x:c r="A5" s="18" t="str">
        <x:v>AU</x:v>
      </x:c>
      <x:c r="B5" s="53" t="n">
        <x:v>0</x:v>
      </x:c>
      <x:c r="C5" s="53" t="n">
        <x:v>0.005619644106374973</x:v>
      </x:c>
      <x:c r="D5" s="53" t="n">
        <x:v>0.012365637154609619</x:v>
      </x:c>
      <x:c r="E5" s="53" t="n">
        <x:v>0.00869977501255903</x:v>
      </x:c>
      <x:c r="F5" s="53" t="n">
        <x:v>0.20364138789695832</x:v>
      </x:c>
      <x:c r="G5" s="53" t="n">
        <x:v>0.11573165566437446</x:v>
      </x:c>
      <x:c r="H5" s="53" t="n">
        <x:v>0.04613959894692487</x:v>
      </x:c>
      <x:c r="I5" s="53" t="n">
        <x:v>0.1747309066370535</x:v>
      </x:c>
      <x:c r="J5" s="53" t="n">
        <x:v>0.06925134717718841</x:v>
      </x:c>
      <x:c r="K5" s="53" t="n">
        <x:v>0.0015462708904886437</x:v>
      </x:c>
      <x:c r="L5" s="53" t="n">
        <x:v>0.05149225410931046</x:v>
      </x:c>
      <x:c r="M5" s="53" t="n">
        <x:v>0.0028126455272029466</x:v>
      </x:c>
      <x:c r="N5" s="53" t="n">
        <x:v>0.11984337848337186</x:v>
      </x:c>
      <x:c r="O5" s="53" t="n">
        <x:v>0.009708220643883011</x:v>
      </x:c>
      <x:c r="P5" s="53" t="n">
        <x:v>0.8215827222503002</x:v>
      </x:c>
      <x:c r="Q5" s="18" t="str">
        <x:v>EXACT — collapsed/renormalized from authors' 35×35 W</x:v>
      </x:c>
    </x:row>
    <x:row r="6">
      <x:c r="A6" s="18" t="str">
        <x:v>BR</x:v>
      </x:c>
      <x:c r="B6" s="53" t="n">
        <x:v>0.006695397324576589</x:v>
      </x:c>
      <x:c r="C6" s="53" t="n">
        <x:v>0</x:v>
      </x:c>
      <x:c r="D6" s="53" t="n">
        <x:v>0.017747975427232908</x:v>
      </x:c>
      <x:c r="E6" s="53" t="n">
        <x:v>0.014168282407348442</x:v>
      </x:c>
      <x:c r="F6" s="53" t="n">
        <x:v>0.13588309177793037</x:v>
      </x:c>
      <x:c r="G6" s="53" t="n">
        <x:v>0.23583529981855847</x:v>
      </x:c>
      <x:c r="H6" s="53" t="n">
        <x:v>0.025671967685572332</x:v>
      </x:c>
      <x:c r="I6" s="53" t="n">
        <x:v>0.04697423489444085</x:v>
      </x:c>
      <x:c r="J6" s="53" t="n">
        <x:v>0.032557186799113985</x:v>
      </x:c>
      <x:c r="K6" s="53" t="n">
        <x:v>0.005000353156816679</x:v>
      </x:c>
      <x:c r="L6" s="53" t="n">
        <x:v>0.009695023036245469</x:v>
      </x:c>
      <x:c r="M6" s="53" t="n">
        <x:v>0.0047588966570523104</x:v>
      </x:c>
      <x:c r="N6" s="53" t="n">
        <x:v>0.2033725535206261</x:v>
      </x:c>
      <x:c r="O6" s="53" t="n">
        <x:v>0.008165846783204558</x:v>
      </x:c>
      <x:c r="P6" s="53" t="n">
        <x:v>0.7465261092887191</x:v>
      </x:c>
      <x:c r="Q6" s="18" t="str">
        <x:v>EXACT — collapsed/renormalized from authors' 35×35 W</x:v>
      </x:c>
    </x:row>
    <x:row r="7">
      <x:c r="A7" s="18" t="str">
        <x:v>CA</x:v>
      </x:c>
      <x:c r="B7" s="53" t="n">
        <x:v>0.004369748279955036</x:v>
      </x:c>
      <x:c r="C7" s="53" t="n">
        <x:v>0.0059042264864517585</x:v>
      </x:c>
      <x:c r="D7" s="53" t="n">
        <x:v>0</x:v>
      </x:c>
      <x:c r="E7" s="53" t="n">
        <x:v>0.0044417506434625735</x:v>
      </x:c>
      <x:c r="F7" s="53" t="n">
        <x:v>0.05637290522957414</x:v>
      </x:c>
      <x:c r="G7" s="53" t="n">
        <x:v>0.05773828136480142</x:v>
      </x:c>
      <x:c r="H7" s="53" t="n">
        <x:v>0.028120909767400556</x:v>
      </x:c>
      <x:c r="I7" s="53" t="n">
        <x:v>0.0316008025137256</x:v>
      </x:c>
      <x:c r="J7" s="53" t="n">
        <x:v>0.011607794041258683</x:v>
      </x:c>
      <x:c r="K7" s="53" t="n">
        <x:v>0.008433764285089186</x:v>
      </x:c>
      <x:c r="L7" s="53" t="n">
        <x:v>0.002558676425321643</x:v>
      </x:c>
      <x:c r="M7" s="53" t="n">
        <x:v>0.001742609698106181</x:v>
      </x:c>
      <x:c r="N7" s="53" t="n">
        <x:v>0.7242402939125585</x:v>
      </x:c>
      <x:c r="O7" s="53" t="n">
        <x:v>0.0016067964653963501</x:v>
      </x:c>
      <x:c r="P7" s="53" t="n">
        <x:v>0.9387385591131017</x:v>
      </x:c>
      <x:c r="Q7" s="18" t="str">
        <x:v>EXACT — collapsed/renormalized from authors' 35×35 W</x:v>
      </x:c>
    </x:row>
    <x:row r="8">
      <x:c r="A8" s="18" t="str">
        <x:v>CH</x:v>
      </x:c>
      <x:c r="B8" s="53" t="n">
        <x:v>0.006706946018945107</x:v>
      </x:c>
      <x:c r="C8" s="53" t="n">
        <x:v>0.008442757572658928</x:v>
      </x:c>
      <x:c r="D8" s="53" t="n">
        <x:v>0.010291244406634845</x:v>
      </x:c>
      <x:c r="E8" s="53" t="n">
        <x:v>0</x:v>
      </x:c>
      <x:c r="F8" s="53" t="n">
        <x:v>0.03166098845655294</x:v>
      </x:c>
      <x:c r="G8" s="53" t="n">
        <x:v>0.6711099521765845</x:v>
      </x:c>
      <x:c r="H8" s="53" t="n">
        <x:v>0.05447140429132694</x:v>
      </x:c>
      <x:c r="I8" s="53" t="n">
        <x:v>0.03308841471473228</x:v>
      </x:c>
      <x:c r="J8" s="53" t="n">
        <x:v>0.007694650225965742</x:v>
      </x:c>
      <x:c r="K8" s="53" t="n">
        <x:v>0.003490873272864266</x:v>
      </x:c>
      <x:c r="L8" s="53" t="n">
        <x:v>0.009037157940896342</x:v>
      </x:c>
      <x:c r="M8" s="53" t="n">
        <x:v>0.00884651066026478</x:v>
      </x:c>
      <x:c r="N8" s="53" t="n">
        <x:v>0.09717810235401267</x:v>
      </x:c>
      <x:c r="O8" s="53" t="n">
        <x:v>0.005514789749045543</x:v>
      </x:c>
      <x:c r="P8" s="53" t="n">
        <x:v>0.9475337918404849</x:v>
      </x:c>
      <x:c r="Q8" s="18" t="str">
        <x:v>EXACT — collapsed/renormalized from authors' 35×35 W</x:v>
      </x:c>
    </x:row>
    <x:row r="9">
      <x:c r="A9" s="18" t="str">
        <x:v>CN</x:v>
      </x:c>
      <x:c r="B9" s="53" t="n">
        <x:v>0.03694141840573533</x:v>
      </x:c>
      <x:c r="C9" s="53" t="n">
        <x:v>0.025576869628755366</x:v>
      </x:c>
      <x:c r="D9" s="53" t="n">
        <x:v>0.01967172881343174</x:v>
      </x:c>
      <x:c r="E9" s="53" t="n">
        <x:v>0.007864360945514792</x:v>
      </x:c>
      <x:c r="F9" s="53" t="n">
        <x:v>0</x:v>
      </x:c>
      <x:c r="G9" s="53" t="n">
        <x:v>0.17377471496799002</x:v>
      </x:c>
      <x:c r="H9" s="53" t="n">
        <x:v>0.025788366310601826</x:v>
      </x:c>
      <x:c r="I9" s="53" t="n">
        <x:v>0.1658495595771754</x:v>
      </x:c>
      <x:c r="J9" s="53" t="n">
        <x:v>0.10606103015656407</x:v>
      </x:c>
      <x:c r="K9" s="53" t="n">
        <x:v>0.0028931357183027613</x:v>
      </x:c>
      <x:c r="L9" s="53" t="n">
        <x:v>0.030392469574474393</x:v>
      </x:c>
      <x:c r="M9" s="53" t="n">
        <x:v>0.006709679267870979</x:v>
      </x:c>
      <x:c r="N9" s="53" t="n">
        <x:v>0.20236714691243285</x:v>
      </x:c>
      <x:c r="O9" s="53" t="n">
        <x:v>0.012807486573396516</x:v>
      </x:c>
      <x:c r="P9" s="53" t="n">
        <x:v>0.816697966852246</x:v>
      </x:c>
      <x:c r="Q9" s="18" t="str">
        <x:v>EXACT — collapsed/renormalized from authors' 35×35 W</x:v>
      </x:c>
    </x:row>
    <x:row r="10">
      <x:c r="A10" s="18" t="str">
        <x:v>EA</x:v>
      </x:c>
      <x:c r="B10" s="53" t="n">
        <x:v>0.0996733978445659</x:v>
      </x:c>
      <x:c r="C10" s="53" t="n">
        <x:v>0.1872113454288668</x:v>
      </x:c>
      <x:c r="D10" s="53" t="n">
        <x:v>0.12770541030638763</x:v>
      </x:c>
      <x:c r="E10" s="53" t="n">
        <x:v>0.7572670971600577</x:v>
      </x:c>
      <x:c r="F10" s="53" t="n">
        <x:v>0.859766338774054</x:v>
      </x:c>
      <x:c r="G10" s="53" t="n">
        <x:v>0</x:v>
      </x:c>
      <x:c r="H10" s="53" t="n">
        <x:v>1.4642813053815416</x:v>
      </x:c>
      <x:c r="I10" s="53" t="n">
        <x:v>0.4071773566635003</x:v>
      </x:c>
      <x:c r="J10" s="53" t="n">
        <x:v>0.18551708420202417</x:v>
      </x:c>
      <x:c r="K10" s="53" t="n">
        <x:v>0.23835299569529111</x:v>
      </x:c>
      <x:c r="L10" s="53" t="n">
        <x:v>0.12183360172516443</x:v>
      </x:c>
      <x:c r="M10" s="53" t="n">
        <x:v>0.2650529913747402</x:v>
      </x:c>
      <x:c r="N10" s="53" t="n">
        <x:v>1.3094880797112416</x:v>
      </x:c>
      <x:c r="O10" s="53" t="n">
        <x:v>0.1159404384276056</x:v>
      </x:c>
      <x:c r="P10" s="53" t="n">
        <x:v>6.139267442695042</x:v>
      </x:c>
      <x:c r="Q10" s="18" t="str">
        <x:v>PROVISIONAL — EA row reconstructed from bilateral consistency of paper W</x:v>
      </x:c>
    </x:row>
    <x:row r="11">
      <x:c r="A11" s="18" t="str">
        <x:v>UK</x:v>
      </x:c>
      <x:c r="B11" s="53" t="n">
        <x:v>0.014112117777263733</x:v>
      </x:c>
      <x:c r="C11" s="53" t="n">
        <x:v>0.007709207963941232</x:v>
      </x:c>
      <x:c r="D11" s="53" t="n">
        <x:v>0.022789691688482994</x:v>
      </x:c>
      <x:c r="E11" s="53" t="n">
        <x:v>0.029483897199432875</x:v>
      </x:c>
      <x:c r="F11" s="53" t="n">
        <x:v>0.05288161933879336</x:v>
      </x:c>
      <x:c r="G11" s="53" t="n">
        <x:v>0.5269569421929352</x:v>
      </x:c>
      <x:c r="H11" s="53" t="n">
        <x:v>0</x:v>
      </x:c>
      <x:c r="I11" s="53" t="n">
        <x:v>0.029902906476099195</x:v>
      </x:c>
      <x:c r="J11" s="53" t="n">
        <x:v>0.011394285233036506</x:v>
      </x:c>
      <x:c r="K11" s="53" t="n">
        <x:v>0.036522413188376485</x:v>
      </x:c>
      <x:c r="L11" s="53" t="n">
        <x:v>0.012613371319784447</x:v>
      </x:c>
      <x:c r="M11" s="53" t="n">
        <x:v>0.014239334210517103</x:v>
      </x:c>
      <x:c r="N11" s="53" t="n">
        <x:v>0.13471656497056003</x:v>
      </x:c>
      <x:c r="O11" s="53" t="n">
        <x:v>0.016063034193063055</x:v>
      </x:c>
      <x:c r="P11" s="53" t="n">
        <x:v>0.9093853857522863</x:v>
      </x:c>
      <x:c r="Q11" s="18" t="str">
        <x:v>EXACT — collapsed/renormalized from authors' 35×35 W</x:v>
      </x:c>
    </x:row>
    <x:row r="12">
      <x:c r="A12" s="18" t="str">
        <x:v>JP</x:v>
      </x:c>
      <x:c r="B12" s="53" t="n">
        <x:v>0.0468813600761931</x:v>
      </x:c>
      <x:c r="C12" s="53" t="n">
        <x:v>0.010667074566718256</x:v>
      </x:c>
      <x:c r="D12" s="53" t="n">
        <x:v>0.020181139934231835</x:v>
      </x:c>
      <x:c r="E12" s="53" t="n">
        <x:v>0.009884652773532239</x:v>
      </x:c>
      <x:c r="F12" s="53" t="n">
        <x:v>0.21944092937859958</x:v>
      </x:c>
      <x:c r="G12" s="53" t="n">
        <x:v>0.11513888671895899</x:v>
      </x:c>
      <x:c r="H12" s="53" t="n">
        <x:v>0.023186101255834358</x:v>
      </x:c>
      <x:c r="I12" s="53" t="n">
        <x:v>0</x:v>
      </x:c>
      <x:c r="J12" s="53" t="n">
        <x:v>0.07810133751815318</x:v>
      </x:c>
      <x:c r="K12" s="53" t="n">
        <x:v>0.0029363434378852833</x:v>
      </x:c>
      <x:c r="L12" s="53" t="n">
        <x:v>0.029913846867329907</x:v>
      </x:c>
      <x:c r="M12" s="53" t="n">
        <x:v>0.002499028535500319</x:v>
      </x:c>
      <x:c r="N12" s="53" t="n">
        <x:v>0.2201948603338537</x:v>
      </x:c>
      <x:c r="O12" s="53" t="n">
        <x:v>0.009391007505211097</x:v>
      </x:c>
      <x:c r="P12" s="53" t="n">
        <x:v>0.7884165689020018</x:v>
      </x:c>
      <x:c r="Q12" s="18" t="str">
        <x:v>EXACT — collapsed/renormalized from authors' 35×35 W</x:v>
      </x:c>
    </x:row>
    <x:row r="13">
      <x:c r="A13" s="18" t="str">
        <x:v>KR</x:v>
      </x:c>
      <x:c r="B13" s="53" t="n">
        <x:v>0.03680953610495114</x:v>
      </x:c>
      <x:c r="C13" s="53" t="n">
        <x:v>0.01558999576909405</x:v>
      </x:c>
      <x:c r="D13" s="53" t="n">
        <x:v>0.014199847632548107</x:v>
      </x:c>
      <x:c r="E13" s="53" t="n">
        <x:v>0.004772863226578801</x:v>
      </x:c>
      <x:c r="F13" s="53" t="n">
        <x:v>0.2430034652674527</x:v>
      </x:c>
      <x:c r="G13" s="53" t="n">
        <x:v>0.10447722014367383</x:v>
      </x:c>
      <x:c r="H13" s="53" t="n">
        <x:v>0.018180027463032076</x:v>
      </x:c>
      <x:c r="I13" s="53" t="n">
        <x:v>0.1557007508479338</x:v>
      </x:c>
      <x:c r="J13" s="53" t="n">
        <x:v>0</x:v>
      </x:c>
      <x:c r="K13" s="53" t="n">
        <x:v>0.005533158179206769</x:v>
      </x:c>
      <x:c r="L13" s="53" t="n">
        <x:v>0.03563177452433778</x:v>
      </x:c>
      <x:c r="M13" s="53" t="n">
        <x:v>0.006384605023477182</x:v>
      </x:c>
      <x:c r="N13" s="53" t="n">
        <x:v>0.16228568439211347</x:v>
      </x:c>
      <x:c r="O13" s="53" t="n">
        <x:v>0.005780051903142757</x:v>
      </x:c>
      <x:c r="P13" s="53" t="n">
        <x:v>0.8083489804775424</x:v>
      </x:c>
      <x:c r="Q13" s="18" t="str">
        <x:v>EXACT — collapsed/renormalized from authors' 35×35 W</x:v>
      </x:c>
    </x:row>
    <x:row r="14">
      <x:c r="A14" s="18" t="str">
        <x:v>NO</x:v>
      </x:c>
      <x:c r="B14" s="53" t="n">
        <x:v>0.0020506543473160633</x:v>
      </x:c>
      <x:c r="C14" s="53" t="n">
        <x:v>0.007662823750939447</x:v>
      </x:c>
      <x:c r="D14" s="53" t="n">
        <x:v>0.030982857631315617</x:v>
      </x:c>
      <x:c r="E14" s="53" t="n">
        <x:v>0.0083646716486896</x:v>
      </x:c>
      <x:c r="F14" s="53" t="n">
        <x:v>0.03585474691437412</x:v>
      </x:c>
      <x:c r="G14" s="53" t="n">
        <x:v>0.4249890378618866</x:v>
      </x:c>
      <x:c r="H14" s="53" t="n">
        <x:v>0.20367838967243887</x:v>
      </x:c>
      <x:c r="I14" s="53" t="n">
        <x:v>0.01913426142149756</x:v>
      </x:c>
      <x:c r="J14" s="53" t="n">
        <x:v>0.01484248572840703</x:v>
      </x:c>
      <x:c r="K14" s="53" t="n">
        <x:v>0</x:v>
      </x:c>
      <x:c r="L14" s="53" t="n">
        <x:v>0.006453322008251117</x:v>
      </x:c>
      <x:c r="M14" s="53" t="n">
        <x:v>0.005826741247121758</x:v>
      </x:c>
      <x:c r="N14" s="53" t="n">
        <x:v>0.06595516392335297</x:v>
      </x:c>
      <x:c r="O14" s="53" t="n">
        <x:v>0.002007962633811537</x:v>
      </x:c>
      <x:c r="P14" s="53" t="n">
        <x:v>0.8278031187894023</x:v>
      </x:c>
      <x:c r="Q14" s="18" t="str">
        <x:v>EXACT — collapsed/renormalized from authors' 35×35 W</x:v>
      </x:c>
    </x:row>
    <x:row r="15">
      <x:c r="A15" s="18" t="str">
        <x:v>SG</x:v>
      </x:c>
      <x:c r="B15" s="53" t="n">
        <x:v>0.03304240040480001</x:v>
      </x:c>
      <x:c r="C15" s="53" t="n">
        <x:v>0.004796258122766737</x:v>
      </x:c>
      <x:c r="D15" s="53" t="n">
        <x:v>0.005115858866834324</x:v>
      </x:c>
      <x:c r="E15" s="53" t="n">
        <x:v>0.009387569681437589</x:v>
      </x:c>
      <x:c r="F15" s="53" t="n">
        <x:v>0.12011222746127856</x:v>
      </x:c>
      <x:c r="G15" s="53" t="n">
        <x:v>0.1053703253143342</x:v>
      </x:c>
      <x:c r="H15" s="53" t="n">
        <x:v>0.026416445268663304</x:v>
      </x:c>
      <x:c r="I15" s="53" t="n">
        <x:v>0.09254224327515884</x:v>
      </x:c>
      <x:c r="J15" s="53" t="n">
        <x:v>0.05695705086348769</x:v>
      </x:c>
      <x:c r="K15" s="53" t="n">
        <x:v>0.002857819986669604</x:v>
      </x:c>
      <x:c r="L15" s="53" t="n">
        <x:v>0</x:v>
      </x:c>
      <x:c r="M15" s="53" t="n">
        <x:v>0.001801235497832904</x:v>
      </x:c>
      <x:c r="N15" s="53" t="n">
        <x:v>0.1374560916079211</x:v>
      </x:c>
      <x:c r="O15" s="53" t="n">
        <x:v>0.0031685511448703756</x:v>
      </x:c>
      <x:c r="P15" s="53" t="n">
        <x:v>0.5990240774960552</x:v>
      </x:c>
      <x:c r="Q15" s="18" t="str">
        <x:v>EXACT — collapsed/renormalized from authors' 35×35 W</x:v>
      </x:c>
    </x:row>
    <x:row r="16">
      <x:c r="A16" s="18" t="str">
        <x:v>TR</x:v>
      </x:c>
      <x:c r="B16" s="53" t="n">
        <x:v>0.005393416583293747</x:v>
      </x:c>
      <x:c r="C16" s="53" t="n">
        <x:v>0.009343820817393397</x:v>
      </x:c>
      <x:c r="D16" s="53" t="n">
        <x:v>0.008286153229366204</x:v>
      </x:c>
      <x:c r="E16" s="53" t="n">
        <x:v>0.03468982736080915</x:v>
      </x:c>
      <x:c r="F16" s="53" t="n">
        <x:v>0.08135783040070102</x:v>
      </x:c>
      <x:c r="G16" s="53" t="n">
        <x:v>0.5215086901673577</x:v>
      </x:c>
      <x:c r="H16" s="53" t="n">
        <x:v>0.07622194955796467</x:v>
      </x:c>
      <x:c r="I16" s="53" t="n">
        <x:v>0.023392604155609346</x:v>
      </x:c>
      <x:c r="J16" s="53" t="n">
        <x:v>0.025770269320567023</x:v>
      </x:c>
      <x:c r="K16" s="53" t="n">
        <x:v>0.006100483609931382</x:v>
      </x:c>
      <x:c r="L16" s="53" t="n">
        <x:v>0.004115890406415764</x:v>
      </x:c>
      <x:c r="M16" s="53" t="n">
        <x:v>0</x:v>
      </x:c>
      <x:c r="N16" s="53" t="n">
        <x:v>0.09094012277111164</x:v>
      </x:c>
      <x:c r="O16" s="53" t="n">
        <x:v>0.011110134713866286</x:v>
      </x:c>
      <x:c r="P16" s="53" t="n">
        <x:v>0.8982311930943873</x:v>
      </x:c>
      <x:c r="Q16" s="18" t="str">
        <x:v>EXACT — collapsed/renormalized from authors' 35×35 W</x:v>
      </x:c>
    </x:row>
    <x:row r="17">
      <x:c r="A17" s="18" t="str">
        <x:v>US</x:v>
      </x:c>
      <x:c r="B17" s="53" t="n">
        <x:v>0.011764525040340784</x:v>
      </x:c>
      <x:c r="C17" s="53" t="n">
        <x:v>0.020868043865313015</x:v>
      </x:c>
      <x:c r="D17" s="53" t="n">
        <x:v>0.21790921531453025</x:v>
      </x:c>
      <x:c r="E17" s="53" t="n">
        <x:v>0.013506389310019655</x:v>
      </x:c>
      <x:c r="F17" s="53" t="n">
        <x:v>0.14081633530568416</x:v>
      </x:c>
      <x:c r="G17" s="53" t="n">
        <x:v>0.153031818855502</x:v>
      </x:c>
      <x:c r="H17" s="53" t="n">
        <x:v>0.04215903317156665</x:v>
      </x:c>
      <x:c r="I17" s="53" t="n">
        <x:v>0.087487020950017</x:v>
      </x:c>
      <x:c r="J17" s="53" t="n">
        <x:v>0.03426212626622954</x:v>
      </x:c>
      <x:c r="K17" s="53" t="n">
        <x:v>0.004026964823444147</x:v>
      </x:c>
      <x:c r="L17" s="53" t="n">
        <x:v>0.018022349948406124</x:v>
      </x:c>
      <x:c r="M17" s="53" t="n">
        <x:v>0.005002803337486849</x:v>
      </x:c>
      <x:c r="N17" s="53" t="n">
        <x:v>0</x:v>
      </x:c>
      <x:c r="O17" s="53" t="n">
        <x:v>0.005041775378871515</x:v>
      </x:c>
      <x:c r="P17" s="53" t="n">
        <x:v>0.7538984015674116</x:v>
      </x:c>
      <x:c r="Q17" s="18" t="str">
        <x:v>EXACT — collapsed/renormalized from authors' 35×35 W</x:v>
      </x:c>
    </x:row>
    <x:row r="18">
      <x:c r="A18" s="18" t="str">
        <x:v>ZA</x:v>
      </x:c>
      <x:c r="B18" s="53" t="n">
        <x:v>0.02393240408029544</x:v>
      </x:c>
      <x:c r="C18" s="53" t="n">
        <x:v>0.01809636860586402</x:v>
      </x:c>
      <x:c r="D18" s="53" t="n">
        <x:v>0.012430034865703099</x:v>
      </x:c>
      <x:c r="E18" s="53" t="n">
        <x:v>0.02189399239933725</x:v>
      </x:c>
      <x:c r="F18" s="53" t="n">
        <x:v>0.12332824679394325</x:v>
      </x:c>
      <x:c r="G18" s="53" t="n">
        <x:v>0.30409842031655465</x:v>
      </x:c>
      <x:c r="H18" s="53" t="n">
        <x:v>0.08170322248542405</x:v>
      </x:c>
      <x:c r="I18" s="53" t="n">
        <x:v>0.09188118553265241</x:v>
      </x:c>
      <x:c r="J18" s="53" t="n">
        <x:v>0.027030675161256467</x:v>
      </x:c>
      <x:c r="K18" s="53" t="n">
        <x:v>0.0025473576141927037</x:v>
      </x:c>
      <x:c r="L18" s="53" t="n">
        <x:v>0.011948005490977937</x:v>
      </x:c>
      <x:c r="M18" s="53" t="n">
        <x:v>0.007473326725769483</x:v>
      </x:c>
      <x:c r="N18" s="53" t="n">
        <x:v>0.1178332074838226</x:v>
      </x:c>
      <x:c r="O18" s="53" t="n">
        <x:v>0</x:v>
      </x:c>
      <x:c r="P18" s="53" t="n">
        <x:v>0.8441964475557935</x:v>
      </x:c>
      <x:c r="Q18" s="18" t="str">
        <x:v>EXACT — collapsed/renormalized from authors' 35×35 W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48" hidden="0" customWidth="1"/>
  </x:cols>
  <x:sheetData>
    <x:row r="1" ht="30" customHeight="1">
      <x:c r="A1" s="43" t="str">
        <x:v>14×14 trade-weight matrix — 2000–2014 project window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</x:row>
    <x:row r="2" ht="30" customHeight="1">
      <x:c r="A2" s="47" t="str">
        <x:v>IMPORTANT: 13 non-EA rows are exact re-normalizations of the authors' matrix. The EA row is provisional until official IMF IMTS EA10 bilateral flows are retrieved; do not describe it as official trade data in the paper.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</x:row>
    <x:row r="4">
      <x:c r="A4" s="52" t="str">
        <x:v>Reporter</x:v>
      </x:c>
      <x:c r="B4" s="52" t="str">
        <x:v>AU</x:v>
      </x:c>
      <x:c r="C4" s="52" t="str">
        <x:v>BR</x:v>
      </x:c>
      <x:c r="D4" s="52" t="str">
        <x:v>CA</x:v>
      </x:c>
      <x:c r="E4" s="52" t="str">
        <x:v>CH</x:v>
      </x:c>
      <x:c r="F4" s="52" t="str">
        <x:v>CN</x:v>
      </x:c>
      <x:c r="G4" s="52" t="str">
        <x:v>EA</x:v>
      </x:c>
      <x:c r="H4" s="52" t="str">
        <x:v>UK</x:v>
      </x:c>
      <x:c r="I4" s="52" t="str">
        <x:v>JP</x:v>
      </x:c>
      <x:c r="J4" s="52" t="str">
        <x:v>KR</x:v>
      </x:c>
      <x:c r="K4" s="52" t="str">
        <x:v>NO</x:v>
      </x:c>
      <x:c r="L4" s="52" t="str">
        <x:v>SG</x:v>
      </x:c>
      <x:c r="M4" s="52" t="str">
        <x:v>TR</x:v>
      </x:c>
      <x:c r="N4" s="52" t="str">
        <x:v>US</x:v>
      </x:c>
      <x:c r="O4" s="52" t="str">
        <x:v>ZA</x:v>
      </x:c>
      <x:c r="P4" s="52" t="str">
        <x:v>Row_Sum</x:v>
      </x:c>
      <x:c r="Q4" s="52" t="str">
        <x:v>Status</x:v>
      </x:c>
    </x:row>
    <x:row r="5">
      <x:c r="A5" s="18" t="str">
        <x:v>AU</x:v>
      </x:c>
      <x:c r="B5" s="53" t="n">
        <x:f>IFERROR(Collapsed_14_Inputs!B5/Collapsed_14_Inputs!$P5,0)</x:f>
        <x:v>0</x:v>
      </x:c>
      <x:c r="C5" s="53" t="n">
        <x:f>IFERROR(Collapsed_14_Inputs!C5/Collapsed_14_Inputs!$P5,0)</x:f>
        <x:v>0.006840022257263237</x:v>
      </x:c>
      <x:c r="D5" s="53" t="n">
        <x:f>IFERROR(Collapsed_14_Inputs!D5/Collapsed_14_Inputs!$P5,0)</x:f>
        <x:v>0.015050994646942383</x:v>
      </x:c>
      <x:c r="E5" s="53" t="n">
        <x:f>IFERROR(Collapsed_14_Inputs!E5/Collapsed_14_Inputs!$P5,0)</x:f>
        <x:v>0.010589043290407208</x:v>
      </x:c>
      <x:c r="F5" s="53" t="n">
        <x:f>IFERROR(Collapsed_14_Inputs!F5/Collapsed_14_Inputs!$P5,0)</x:f>
        <x:v>0.24786474007046821</x:v>
      </x:c>
      <x:c r="G5" s="53" t="n">
        <x:f>IFERROR(Collapsed_14_Inputs!G5/Collapsed_14_Inputs!$P5,0)</x:f>
        <x:v>0.1408642763900725</x:v>
      </x:c>
      <x:c r="H5" s="53" t="n">
        <x:f>IFERROR(Collapsed_14_Inputs!H5/Collapsed_14_Inputs!$P5,0)</x:f>
        <x:v>0.05615940756464467</x:v>
      </x:c>
      <x:c r="I5" s="53" t="n">
        <x:f>IFERROR(Collapsed_14_Inputs!I5/Collapsed_14_Inputs!$P5,0)</x:f>
        <x:v>0.21267597516957115</x:v>
      </x:c>
      <x:c r="J5" s="53" t="n">
        <x:f>IFERROR(Collapsed_14_Inputs!J5/Collapsed_14_Inputs!$P5,0)</x:f>
        <x:v>0.08429016981699691</x:v>
      </x:c>
      <x:c r="K5" s="53" t="n">
        <x:f>IFERROR(Collapsed_14_Inputs!K5/Collapsed_14_Inputs!$P5,0)</x:f>
        <x:v>0.0018820635446829212</x:v>
      </x:c>
      <x:c r="L5" s="53" t="n">
        <x:f>IFERROR(Collapsed_14_Inputs!L5/Collapsed_14_Inputs!$P5,0)</x:f>
        <x:v>0.0626744607874349</x:v>
      </x:c>
      <x:c r="M5" s="53" t="n">
        <x:f>IFERROR(Collapsed_14_Inputs!M5/Collapsed_14_Inputs!$P5,0)</x:f>
        <x:v>0.0034234477564220943</x:v>
      </x:c>
      <x:c r="N5" s="53" t="n">
        <x:f>IFERROR(Collapsed_14_Inputs!N5/Collapsed_14_Inputs!$P5,0)</x:f>
        <x:v>0.1458689128163784</x:v>
      </x:c>
      <x:c r="O5" s="53" t="n">
        <x:f>IFERROR(Collapsed_14_Inputs!O5/Collapsed_14_Inputs!$P5,0)</x:f>
        <x:v>0.011816485888715346</x:v>
      </x:c>
      <x:c r="P5" s="53" t="n">
        <x:f>SUM(B5:O5)</x:f>
        <x:v>0.9999999999999998</x:v>
      </x:c>
      <x:c r="Q5" s="18" t="str">
        <x:v>EXACT — collapsed/renormalized from authors' 35×35 W</x:v>
      </x:c>
    </x:row>
    <x:row r="6">
      <x:c r="A6" s="18" t="str">
        <x:v>BR</x:v>
      </x:c>
      <x:c r="B6" s="53" t="n">
        <x:f>IFERROR(Collapsed_14_Inputs!B6/Collapsed_14_Inputs!$P6,0)</x:f>
        <x:v>0.008968738321765975</x:v>
      </x:c>
      <x:c r="C6" s="53" t="n">
        <x:f>IFERROR(Collapsed_14_Inputs!C6/Collapsed_14_Inputs!$P6,0)</x:f>
        <x:v>0</x:v>
      </x:c>
      <x:c r="D6" s="53" t="n">
        <x:f>IFERROR(Collapsed_14_Inputs!D6/Collapsed_14_Inputs!$P6,0)</x:f>
        <x:v>0.023774085335264376</x:v>
      </x:c>
      <x:c r="E6" s="53" t="n">
        <x:f>IFERROR(Collapsed_14_Inputs!E6/Collapsed_14_Inputs!$P6,0)</x:f>
        <x:v>0.01897895094499482</x:v>
      </x:c>
      <x:c r="F6" s="53" t="n">
        <x:f>IFERROR(Collapsed_14_Inputs!F6/Collapsed_14_Inputs!$P6,0)</x:f>
        <x:v>0.1820205483601881</x:v>
      </x:c>
      <x:c r="G6" s="53" t="n">
        <x:f>IFERROR(Collapsed_14_Inputs!G6/Collapsed_14_Inputs!$P6,0)</x:f>
        <x:v>0.31591031697907984</x:v>
      </x:c>
      <x:c r="H6" s="53" t="n">
        <x:f>IFERROR(Collapsed_14_Inputs!H6/Collapsed_14_Inputs!$P6,0)</x:f>
        <x:v>0.03438857310701734</x:v>
      </x:c>
      <x:c r="I6" s="53" t="n">
        <x:f>IFERROR(Collapsed_14_Inputs!I6/Collapsed_14_Inputs!$P6,0)</x:f>
        <x:v>0.06292376691177931</x:v>
      </x:c>
      <x:c r="J6" s="53" t="n">
        <x:f>IFERROR(Collapsed_14_Inputs!J6/Collapsed_14_Inputs!$P6,0)</x:f>
        <x:v>0.04361158490509337</x:v>
      </x:c>
      <x:c r="K6" s="53" t="n">
        <x:f>IFERROR(Collapsed_14_Inputs!K6/Collapsed_14_Inputs!$P6,0)</x:f>
        <x:v>0.006698162454868396</x:v>
      </x:c>
      <x:c r="L6" s="53" t="n">
        <x:f>IFERROR(Collapsed_14_Inputs!L6/Collapsed_14_Inputs!$P6,0)</x:f>
        <x:v>0.012986850581130737</x:v>
      </x:c>
      <x:c r="M6" s="53" t="n">
        <x:f>IFERROR(Collapsed_14_Inputs!M6/Collapsed_14_Inputs!$P6,0)</x:f>
        <x:v>0.006374722327644413</x:v>
      </x:c>
      <x:c r="N6" s="53" t="n">
        <x:f>IFERROR(Collapsed_14_Inputs!N6/Collapsed_14_Inputs!$P6,0)</x:f>
        <x:v>0.2724252387024976</x:v>
      </x:c>
      <x:c r="O6" s="53" t="n">
        <x:f>IFERROR(Collapsed_14_Inputs!O6/Collapsed_14_Inputs!$P6,0)</x:f>
        <x:v>0.01093846106867565</x:v>
      </x:c>
      <x:c r="P6" s="53" t="n">
        <x:f>SUM(B6:O6)</x:f>
        <x:v>1</x:v>
      </x:c>
      <x:c r="Q6" s="18" t="str">
        <x:v>EXACT — collapsed/renormalized from authors' 35×35 W</x:v>
      </x:c>
    </x:row>
    <x:row r="7">
      <x:c r="A7" s="18" t="str">
        <x:v>CA</x:v>
      </x:c>
      <x:c r="B7" s="53" t="n">
        <x:f>IFERROR(Collapsed_14_Inputs!B7/Collapsed_14_Inputs!$P7,0)</x:f>
        <x:v>0.0046549150852858035</x:v>
      </x:c>
      <x:c r="C7" s="53" t="n">
        <x:f>IFERROR(Collapsed_14_Inputs!C7/Collapsed_14_Inputs!$P7,0)</x:f>
        <x:v>0.006289532297501377</x:v>
      </x:c>
      <x:c r="D7" s="53" t="n">
        <x:f>IFERROR(Collapsed_14_Inputs!D7/Collapsed_14_Inputs!$P7,0)</x:f>
        <x:v>0</x:v>
      </x:c>
      <x:c r="E7" s="53" t="n">
        <x:f>IFERROR(Collapsed_14_Inputs!E7/Collapsed_14_Inputs!$P7,0)</x:f>
        <x:v>0.004731616274140306</x:v>
      </x:c>
      <x:c r="F7" s="53" t="n">
        <x:f>IFERROR(Collapsed_14_Inputs!F7/Collapsed_14_Inputs!$P7,0)</x:f>
        <x:v>0.06005176274300903</x:v>
      </x:c>
      <x:c r="G7" s="53" t="n">
        <x:f>IFERROR(Collapsed_14_Inputs!G7/Collapsed_14_Inputs!$P7,0)</x:f>
        <x:v>0.06150624239761836</x:v>
      </x:c>
      <x:c r="H7" s="53" t="n">
        <x:f>IFERROR(Collapsed_14_Inputs!H7/Collapsed_14_Inputs!$P7,0)</x:f>
        <x:v>0.029956061242406552</x:v>
      </x:c>
      <x:c r="I7" s="53" t="n">
        <x:f>IFERROR(Collapsed_14_Inputs!I7/Collapsed_14_Inputs!$P7,0)</x:f>
        <x:v>0.03366304942622289</x:v>
      </x:c>
      <x:c r="J7" s="53" t="n">
        <x:f>IFERROR(Collapsed_14_Inputs!J7/Collapsed_14_Inputs!$P7,0)</x:f>
        <x:v>0.012365310797742725</x:v>
      </x:c>
      <x:c r="K7" s="53" t="n">
        <x:f>IFERROR(Collapsed_14_Inputs!K7/Collapsed_14_Inputs!$P7,0)</x:f>
        <x:v>0.008984146015113314</x:v>
      </x:c>
      <x:c r="L7" s="53" t="n">
        <x:f>IFERROR(Collapsed_14_Inputs!L7/Collapsed_14_Inputs!$P7,0)</x:f>
        <x:v>0.002725653911286036</x:v>
      </x:c>
      <x:c r="M7" s="53" t="n">
        <x:f>IFERROR(Collapsed_14_Inputs!M7/Collapsed_14_Inputs!$P7,0)</x:f>
        <x:v>0.0018563312236290347</x:v>
      </x:c>
      <x:c r="N7" s="53" t="n">
        <x:f>IFERROR(Collapsed_14_Inputs!N7/Collapsed_14_Inputs!$P7,0)</x:f>
        <x:v>0.7715037236744636</x:v>
      </x:c>
      <x:c r="O7" s="53" t="n">
        <x:f>IFERROR(Collapsed_14_Inputs!O7/Collapsed_14_Inputs!$P7,0)</x:f>
        <x:v>0.0017116549115809348</x:v>
      </x:c>
      <x:c r="P7" s="53" t="n">
        <x:f>SUM(B7:O7)</x:f>
        <x:v>1</x:v>
      </x:c>
      <x:c r="Q7" s="18" t="str">
        <x:v>EXACT — collapsed/renormalized from authors' 35×35 W</x:v>
      </x:c>
    </x:row>
    <x:row r="8">
      <x:c r="A8" s="18" t="str">
        <x:v>CH</x:v>
      </x:c>
      <x:c r="B8" s="53" t="n">
        <x:f>IFERROR(Collapsed_14_Inputs!B8/Collapsed_14_Inputs!$P8,0)</x:f>
        <x:v>0.007078318553597512</x:v>
      </x:c>
      <x:c r="C8" s="53" t="n">
        <x:f>IFERROR(Collapsed_14_Inputs!C8/Collapsed_14_Inputs!$P8,0)</x:f>
        <x:v>0.008910244305123681</x:v>
      </x:c>
      <x:c r="D8" s="53" t="n">
        <x:f>IFERROR(Collapsed_14_Inputs!D8/Collapsed_14_Inputs!$P8,0)</x:f>
        <x:v>0.010861084317262378</x:v>
      </x:c>
      <x:c r="E8" s="53" t="n">
        <x:f>IFERROR(Collapsed_14_Inputs!E8/Collapsed_14_Inputs!$P8,0)</x:f>
        <x:v>0</x:v>
      </x:c>
      <x:c r="F8" s="53" t="n">
        <x:f>IFERROR(Collapsed_14_Inputs!F8/Collapsed_14_Inputs!$P8,0)</x:f>
        <x:v>0.033414099559504674</x:v>
      </x:c>
      <x:c r="G8" s="53" t="n">
        <x:f>IFERROR(Collapsed_14_Inputs!G8/Collapsed_14_Inputs!$P8,0)</x:f>
        <x:v>0.7082702041401857</x:v>
      </x:c>
      <x:c r="H8" s="53" t="n">
        <x:f>IFERROR(Collapsed_14_Inputs!H8/Collapsed_14_Inputs!$P8,0)</x:f>
        <x:v>0.05748755850229041</x:v>
      </x:c>
      <x:c r="I8" s="53" t="n">
        <x:f>IFERROR(Collapsed_14_Inputs!I8/Collapsed_14_Inputs!$P8,0)</x:f>
        <x:v>0.03492056431091656</x:v>
      </x:c>
      <x:c r="J8" s="53" t="n">
        <x:f>IFERROR(Collapsed_14_Inputs!J8/Collapsed_14_Inputs!$P8,0)</x:f>
        <x:v>0.008120713258172768</x:v>
      </x:c>
      <x:c r="K8" s="53" t="n">
        <x:f>IFERROR(Collapsed_14_Inputs!K8/Collapsed_14_Inputs!$P8,0)</x:f>
        <x:v>0.0036841675757902114</x:v>
      </x:c>
      <x:c r="L8" s="53" t="n">
        <x:f>IFERROR(Collapsed_14_Inputs!L8/Collapsed_14_Inputs!$P8,0)</x:f>
        <x:v>0.009537557413485604</x:v>
      </x:c>
      <x:c r="M8" s="53" t="n">
        <x:f>IFERROR(Collapsed_14_Inputs!M8/Collapsed_14_Inputs!$P8,0)</x:f>
        <x:v>0.009336353738985247</x:v>
      </x:c>
      <x:c r="N8" s="53" t="n">
        <x:f>IFERROR(Collapsed_14_Inputs!N8/Collapsed_14_Inputs!$P8,0)</x:f>
        <x:v>0.10255898332159152</x:v>
      </x:c>
      <x:c r="O8" s="53" t="n">
        <x:f>IFERROR(Collapsed_14_Inputs!O8/Collapsed_14_Inputs!$P8,0)</x:f>
        <x:v>0.005820151003093665</x:v>
      </x:c>
      <x:c r="P8" s="53" t="n">
        <x:f>SUM(B8:O8)</x:f>
        <x:v>0.9999999999999999</x:v>
      </x:c>
      <x:c r="Q8" s="18" t="str">
        <x:v>EXACT — collapsed/renormalized from authors' 35×35 W</x:v>
      </x:c>
    </x:row>
    <x:row r="9">
      <x:c r="A9" s="18" t="str">
        <x:v>CN</x:v>
      </x:c>
      <x:c r="B9" s="53" t="n">
        <x:f>IFERROR(Collapsed_14_Inputs!B9/Collapsed_14_Inputs!$P9,0)</x:f>
        <x:v>0.045232656263510244</x:v>
      </x:c>
      <x:c r="C9" s="53" t="n">
        <x:f>IFERROR(Collapsed_14_Inputs!C9/Collapsed_14_Inputs!$P9,0)</x:f>
        <x:v>0.03131741557694197</x:v>
      </x:c>
      <x:c r="D9" s="53" t="n">
        <x:f>IFERROR(Collapsed_14_Inputs!D9/Collapsed_14_Inputs!$P9,0)</x:f>
        <x:v>0.024086908027029136</x:v>
      </x:c>
      <x:c r="E9" s="53" t="n">
        <x:f>IFERROR(Collapsed_14_Inputs!E9/Collapsed_14_Inputs!$P9,0)</x:f>
        <x:v>0.0096294606631947</x:v>
      </x:c>
      <x:c r="F9" s="53" t="n">
        <x:f>IFERROR(Collapsed_14_Inputs!F9/Collapsed_14_Inputs!$P9,0)</x:f>
        <x:v>0</x:v>
      </x:c>
      <x:c r="G9" s="53" t="n">
        <x:f>IFERROR(Collapsed_14_Inputs!G9/Collapsed_14_Inputs!$P9,0)</x:f>
        <x:v>0.2127772102063145</x:v>
      </x:c>
      <x:c r="H9" s="53" t="n">
        <x:f>IFERROR(Collapsed_14_Inputs!H9/Collapsed_14_Inputs!$P9,0)</x:f>
        <x:v>0.031576381180421574</x:v>
      </x:c>
      <x:c r="I9" s="53" t="n">
        <x:f>IFERROR(Collapsed_14_Inputs!I9/Collapsed_14_Inputs!$P9,0)</x:f>
        <x:v>0.20307331021821962</x:v>
      </x:c>
      <x:c r="J9" s="53" t="n">
        <x:f>IFERROR(Collapsed_14_Inputs!J9/Collapsed_14_Inputs!$P9,0)</x:f>
        <x:v>0.12986567184114495</x:v>
      </x:c>
      <x:c r="K9" s="53" t="n">
        <x:f>IFERROR(Collapsed_14_Inputs!K9/Collapsed_14_Inputs!$P9,0)</x:f>
        <x:v>0.003542479393518775</x:v>
      </x:c>
      <x:c r="L9" s="53" t="n">
        <x:f>IFERROR(Collapsed_14_Inputs!L9/Collapsed_14_Inputs!$P9,0)</x:f>
        <x:v>0.03721384258076999</x:v>
      </x:c>
      <x:c r="M9" s="53" t="n">
        <x:f>IFERROR(Collapsed_14_Inputs!M9/Collapsed_14_Inputs!$P9,0)</x:f>
        <x:v>0.008215618919356108</x:v>
      </x:c>
      <x:c r="N9" s="53" t="n">
        <x:f>IFERROR(Collapsed_14_Inputs!N9/Collapsed_14_Inputs!$P9,0)</x:f>
        <x:v>0.24778700955067318</x:v>
      </x:c>
      <x:c r="O9" s="53" t="n">
        <x:f>IFERROR(Collapsed_14_Inputs!O9/Collapsed_14_Inputs!$P9,0)</x:f>
        <x:v>0.015682035578905264</x:v>
      </x:c>
      <x:c r="P9" s="53" t="n">
        <x:f>SUM(B9:O9)</x:f>
        <x:v>0.9999999999999999</x:v>
      </x:c>
      <x:c r="Q9" s="18" t="str">
        <x:v>EXACT — collapsed/renormalized from authors' 35×35 W</x:v>
      </x:c>
    </x:row>
    <x:row r="10">
      <x:c r="A10" s="56" t="str">
        <x:v>EA</x:v>
      </x:c>
      <x:c r="B10" s="57" t="n">
        <x:f>IFERROR(Collapsed_14_Inputs!B10/Collapsed_14_Inputs!$P10,0)</x:f>
        <x:v>0.01623538944588002</x:v>
      </x:c>
      <x:c r="C10" s="57" t="n">
        <x:f>IFERROR(Collapsed_14_Inputs!C10/Collapsed_14_Inputs!$P10,0)</x:f>
        <x:v>0.0304940853573051</x:v>
      </x:c>
      <x:c r="D10" s="57" t="n">
        <x:f>IFERROR(Collapsed_14_Inputs!D10/Collapsed_14_Inputs!$P10,0)</x:f>
        <x:v>0.020801408555403633</x:v>
      </x:c>
      <x:c r="E10" s="57" t="n">
        <x:f>IFERROR(Collapsed_14_Inputs!E10/Collapsed_14_Inputs!$P10,0)</x:f>
        <x:v>0.1233481199880143</x:v>
      </x:c>
      <x:c r="F10" s="57" t="n">
        <x:f>IFERROR(Collapsed_14_Inputs!F10/Collapsed_14_Inputs!$P10,0)</x:f>
        <x:v>0.1400437994922453</x:v>
      </x:c>
      <x:c r="G10" s="57" t="n">
        <x:f>IFERROR(Collapsed_14_Inputs!G10/Collapsed_14_Inputs!$P10,0)</x:f>
        <x:v>0</x:v>
      </x:c>
      <x:c r="H10" s="57" t="n">
        <x:f>IFERROR(Collapsed_14_Inputs!H10/Collapsed_14_Inputs!$P10,0)</x:f>
        <x:v>0.2385107537746792</x:v>
      </x:c>
      <x:c r="I10" s="57" t="n">
        <x:f>IFERROR(Collapsed_14_Inputs!I10/Collapsed_14_Inputs!$P10,0)</x:f>
        <x:v>0.06632344338541404</x:v>
      </x:c>
      <x:c r="J10" s="57" t="n">
        <x:f>IFERROR(Collapsed_14_Inputs!J10/Collapsed_14_Inputs!$P10,0)</x:f>
        <x:v>0.030218114120890146</x:v>
      </x:c>
      <x:c r="K10" s="57" t="n">
        <x:f>IFERROR(Collapsed_14_Inputs!K10/Collapsed_14_Inputs!$P10,0)</x:f>
        <x:v>0.03882433823255269</x:v>
      </x:c>
      <x:c r="L10" s="57" t="n">
        <x:f>IFERROR(Collapsed_14_Inputs!L10/Collapsed_14_Inputs!$P10,0)</x:f>
        <x:v>0.019844973828291375</x:v>
      </x:c>
      <x:c r="M10" s="57" t="n">
        <x:f>IFERROR(Collapsed_14_Inputs!M10/Collapsed_14_Inputs!$P10,0)</x:f>
        <x:v>0.043173390611956484</x:v>
      </x:c>
      <x:c r="N10" s="57" t="n">
        <x:f>IFERROR(Collapsed_14_Inputs!N10/Collapsed_14_Inputs!$P10,0)</x:f>
        <x:v>0.21329712248802066</x:v>
      </x:c>
      <x:c r="O10" s="57" t="n">
        <x:f>IFERROR(Collapsed_14_Inputs!O10/Collapsed_14_Inputs!$P10,0)</x:f>
        <x:v>0.018885060719346928</x:v>
      </x:c>
      <x:c r="P10" s="57" t="n">
        <x:f>SUM(B10:O10)</x:f>
        <x:v>1</x:v>
      </x:c>
      <x:c r="Q10" s="56" t="str">
        <x:v>PROVISIONAL — EA row reconstructed from bilateral consistency of paper W</x:v>
      </x:c>
    </x:row>
    <x:row r="11">
      <x:c r="A11" s="18" t="str">
        <x:v>UK</x:v>
      </x:c>
      <x:c r="B11" s="53" t="n">
        <x:f>IFERROR(Collapsed_14_Inputs!B11/Collapsed_14_Inputs!$P11,0)</x:f>
        <x:v>0.015518302799191704</x:v>
      </x:c>
      <x:c r="C11" s="53" t="n">
        <x:f>IFERROR(Collapsed_14_Inputs!C11/Collapsed_14_Inputs!$P11,0)</x:f>
        <x:v>0.008477382729835507</x:v>
      </x:c>
      <x:c r="D11" s="53" t="n">
        <x:f>IFERROR(Collapsed_14_Inputs!D11/Collapsed_14_Inputs!$P11,0)</x:f>
        <x:v>0.025060543137748238</x:v>
      </x:c>
      <x:c r="E11" s="53" t="n">
        <x:f>IFERROR(Collapsed_14_Inputs!E11/Collapsed_14_Inputs!$P11,0)</x:f>
        <x:v>0.03242178471456566</x:v>
      </x:c>
      <x:c r="F11" s="53" t="n">
        <x:f>IFERROR(Collapsed_14_Inputs!F11/Collapsed_14_Inputs!$P11,0)</x:f>
        <x:v>0.058150944766994686</x:v>
      </x:c>
      <x:c r="G11" s="53" t="n">
        <x:f>IFERROR(Collapsed_14_Inputs!G11/Collapsed_14_Inputs!$P11,0)</x:f>
        <x:v>0.5794649336232863</x:v>
      </x:c>
      <x:c r="H11" s="53" t="n">
        <x:f>IFERROR(Collapsed_14_Inputs!H11/Collapsed_14_Inputs!$P11,0)</x:f>
        <x:v>0</x:v>
      </x:c>
      <x:c r="I11" s="53" t="n">
        <x:f>IFERROR(Collapsed_14_Inputs!I11/Collapsed_14_Inputs!$P11,0)</x:f>
        <x:v>0.03288254566721688</x:v>
      </x:c>
      <x:c r="J11" s="53" t="n">
        <x:f>IFERROR(Collapsed_14_Inputs!J11/Collapsed_14_Inputs!$P11,0)</x:f>
        <x:v>0.012529655096239113</x:v>
      </x:c>
      <x:c r="K11" s="53" t="n">
        <x:f>IFERROR(Collapsed_14_Inputs!K11/Collapsed_14_Inputs!$P11,0)</x:f>
        <x:v>0.040161645173309474</x:v>
      </x:c>
      <x:c r="L11" s="53" t="n">
        <x:f>IFERROR(Collapsed_14_Inputs!L11/Collapsed_14_Inputs!$P11,0)</x:f>
        <x:v>0.013870215551517878</x:v>
      </x:c>
      <x:c r="M11" s="53" t="n">
        <x:f>IFERROR(Collapsed_14_Inputs!M11/Collapsed_14_Inputs!$P11,0)</x:f>
        <x:v>0.015658195561101585</x:v>
      </x:c>
      <x:c r="N11" s="53" t="n">
        <x:f>IFERROR(Collapsed_14_Inputs!N11/Collapsed_14_Inputs!$P11,0)</x:f>
        <x:v>0.14814023524153752</x:v>
      </x:c>
      <x:c r="O11" s="53" t="n">
        <x:f>IFERROR(Collapsed_14_Inputs!O11/Collapsed_14_Inputs!$P11,0)</x:f>
        <x:v>0.01766361593745534</x:v>
      </x:c>
      <x:c r="P11" s="53" t="n">
        <x:f>SUM(B11:O11)</x:f>
        <x:v>0.9999999999999999</x:v>
      </x:c>
      <x:c r="Q11" s="18" t="str">
        <x:v>EXACT — collapsed/renormalized from authors' 35×35 W</x:v>
      </x:c>
    </x:row>
    <x:row r="12">
      <x:c r="A12" s="18" t="str">
        <x:v>JP</x:v>
      </x:c>
      <x:c r="B12" s="53" t="n">
        <x:f>IFERROR(Collapsed_14_Inputs!B12/Collapsed_14_Inputs!$P12,0)</x:f>
        <x:v>0.05946267737813147</x:v>
      </x:c>
      <x:c r="C12" s="53" t="n">
        <x:f>IFERROR(Collapsed_14_Inputs!C12/Collapsed_14_Inputs!$P12,0)</x:f>
        <x:v>0.013529744284260655</x:v>
      </x:c>
      <x:c r="D12" s="53" t="n">
        <x:f>IFERROR(Collapsed_14_Inputs!D12/Collapsed_14_Inputs!$P12,0)</x:f>
        <x:v>0.02559705202839325</x:v>
      </x:c>
      <x:c r="E12" s="53" t="n">
        <x:f>IFERROR(Collapsed_14_Inputs!E12/Collapsed_14_Inputs!$P12,0)</x:f>
        <x:v>0.012537347848102969</x:v>
      </x:c>
      <x:c r="F12" s="53" t="n">
        <x:f>IFERROR(Collapsed_14_Inputs!F12/Collapsed_14_Inputs!$P12,0)</x:f>
        <x:v>0.2783311995639649</x:v>
      </x:c>
      <x:c r="G12" s="53" t="n">
        <x:f>IFERROR(Collapsed_14_Inputs!G12/Collapsed_14_Inputs!$P12,0)</x:f>
        <x:v>0.14603813676735458</x:v>
      </x:c>
      <x:c r="H12" s="53" t="n">
        <x:f>IFERROR(Collapsed_14_Inputs!H12/Collapsed_14_Inputs!$P12,0)</x:f>
        <x:v>0.029408439865900804</x:v>
      </x:c>
      <x:c r="I12" s="53" t="n">
        <x:f>IFERROR(Collapsed_14_Inputs!I12/Collapsed_14_Inputs!$P12,0)</x:f>
        <x:v>0</x:v>
      </x:c>
      <x:c r="J12" s="53" t="n">
        <x:f>IFERROR(Collapsed_14_Inputs!J12/Collapsed_14_Inputs!$P12,0)</x:f>
        <x:v>0.09906100480222274</x:v>
      </x:c>
      <x:c r="K12" s="53" t="n">
        <x:f>IFERROR(Collapsed_14_Inputs!K12/Collapsed_14_Inputs!$P12,0)</x:f>
        <x:v>0.003724355313809067</x:v>
      </x:c>
      <x:c r="L12" s="53" t="n">
        <x:f>IFERROR(Collapsed_14_Inputs!L12/Collapsed_14_Inputs!$P12,0)</x:f>
        <x:v>0.03794167708701226</x:v>
      </x:c>
      <x:c r="M12" s="53" t="n">
        <x:f>IFERROR(Collapsed_14_Inputs!M12/Collapsed_14_Inputs!$P12,0)</x:f>
        <x:v>0.0031696803873371435</x:v>
      </x:c>
      <x:c r="N12" s="53" t="n">
        <x:f>IFERROR(Collapsed_14_Inputs!N12/Collapsed_14_Inputs!$P12,0)</x:f>
        <x:v>0.2792874592177975</x:v>
      </x:c>
      <x:c r="O12" s="53" t="n">
        <x:f>IFERROR(Collapsed_14_Inputs!O12/Collapsed_14_Inputs!$P12,0)</x:f>
        <x:v>0.011911225455712581</x:v>
      </x:c>
      <x:c r="P12" s="53" t="n">
        <x:f>SUM(B12:O12)</x:f>
        <x:v>0.9999999999999999</x:v>
      </x:c>
      <x:c r="Q12" s="18" t="str">
        <x:v>EXACT — collapsed/renormalized from authors' 35×35 W</x:v>
      </x:c>
    </x:row>
    <x:row r="13">
      <x:c r="A13" s="18" t="str">
        <x:v>KR</x:v>
      </x:c>
      <x:c r="B13" s="53" t="n">
        <x:f>IFERROR(Collapsed_14_Inputs!B13/Collapsed_14_Inputs!$P13,0)</x:f>
        <x:v>0.04553668897213854</x:v>
      </x:c>
      <x:c r="C13" s="53" t="n">
        <x:f>IFERROR(Collapsed_14_Inputs!C13/Collapsed_14_Inputs!$P13,0)</x:f>
        <x:v>0.019286219375057617</x:v>
      </x:c>
      <x:c r="D13" s="53" t="n">
        <x:f>IFERROR(Collapsed_14_Inputs!D13/Collapsed_14_Inputs!$P13,0)</x:f>
        <x:v>0.01756648177394789</x:v>
      </x:c>
      <x:c r="E13" s="53" t="n">
        <x:f>IFERROR(Collapsed_14_Inputs!E13/Collapsed_14_Inputs!$P13,0)</x:f>
        <x:v>0.005904458769477474</x:v>
      </x:c>
      <x:c r="F13" s="53" t="n">
        <x:f>IFERROR(Collapsed_14_Inputs!F13/Collapsed_14_Inputs!$P13,0)</x:f>
        <x:v>0.3006170244983736</x:v>
      </x:c>
      <x:c r="G13" s="53" t="n">
        <x:f>IFERROR(Collapsed_14_Inputs!G13/Collapsed_14_Inputs!$P13,0)</x:f>
        <x:v>0.12924766736509347</x:v>
      </x:c>
      <x:c r="H13" s="53" t="n">
        <x:f>IFERROR(Collapsed_14_Inputs!H13/Collapsed_14_Inputs!$P13,0)</x:f>
        <x:v>0.02249032027267727</x:v>
      </x:c>
      <x:c r="I13" s="53" t="n">
        <x:f>IFERROR(Collapsed_14_Inputs!I13/Collapsed_14_Inputs!$P13,0)</x:f>
        <x:v>0.19261575706565698</x:v>
      </x:c>
      <x:c r="J13" s="53" t="n">
        <x:f>IFERROR(Collapsed_14_Inputs!J13/Collapsed_14_Inputs!$P13,0)</x:f>
        <x:v>0</x:v>
      </x:c>
      <x:c r="K13" s="53" t="n">
        <x:f>IFERROR(Collapsed_14_Inputs!K13/Collapsed_14_Inputs!$P13,0)</x:f>
        <x:v>0.006845011638337176</x:v>
      </x:c>
      <x:c r="L13" s="53" t="n">
        <x:f>IFERROR(Collapsed_14_Inputs!L13/Collapsed_14_Inputs!$P13,0)</x:f>
        <x:v>0.0440796925398333</x:v>
      </x:c>
      <x:c r="M13" s="53" t="n">
        <x:f>IFERROR(Collapsed_14_Inputs!M13/Collapsed_14_Inputs!$P13,0)</x:f>
        <x:v>0.00789832755118389</x:v>
      </x:c>
      <x:c r="N13" s="53" t="n">
        <x:f>IFERROR(Collapsed_14_Inputs!N13/Collapsed_14_Inputs!$P13,0)</x:f>
        <x:v>0.20076190891740983</x:v>
      </x:c>
      <x:c r="O13" s="53" t="n">
        <x:f>IFERROR(Collapsed_14_Inputs!O13/Collapsed_14_Inputs!$P13,0)</x:f>
        <x:v>0.007150441260813019</x:v>
      </x:c>
      <x:c r="P13" s="53" t="n">
        <x:f>SUM(B13:O13)</x:f>
        <x:v>1</x:v>
      </x:c>
      <x:c r="Q13" s="18" t="str">
        <x:v>EXACT — collapsed/renormalized from authors' 35×35 W</x:v>
      </x:c>
    </x:row>
    <x:row r="14">
      <x:c r="A14" s="18" t="str">
        <x:v>NO</x:v>
      </x:c>
      <x:c r="B14" s="53" t="n">
        <x:f>IFERROR(Collapsed_14_Inputs!B14/Collapsed_14_Inputs!$P14,0)</x:f>
        <x:v>0.0024772247177746636</x:v>
      </x:c>
      <x:c r="C14" s="53" t="n">
        <x:f>IFERROR(Collapsed_14_Inputs!C14/Collapsed_14_Inputs!$P14,0)</x:f>
        <x:v>0.009256819136107788</x:v>
      </x:c>
      <x:c r="D14" s="53" t="n">
        <x:f>IFERROR(Collapsed_14_Inputs!D14/Collapsed_14_Inputs!$P14,0)</x:f>
        <x:v>0.03742780973889738</x:v>
      </x:c>
      <x:c r="E14" s="53" t="n">
        <x:f>IFERROR(Collapsed_14_Inputs!E14/Collapsed_14_Inputs!$P14,0)</x:f>
        <x:v>0.010104663124393976</x:v>
      </x:c>
      <x:c r="F14" s="53" t="n">
        <x:f>IFERROR(Collapsed_14_Inputs!F14/Collapsed_14_Inputs!$P14,0)</x:f>
        <x:v>0.043313133401585754</x:v>
      </x:c>
      <x:c r="G14" s="53" t="n">
        <x:f>IFERROR(Collapsed_14_Inputs!G14/Collapsed_14_Inputs!$P14,0)</x:f>
        <x:v>0.5133938592589504</x:v>
      </x:c>
      <x:c r="H14" s="53" t="n">
        <x:f>IFERROR(Collapsed_14_Inputs!H14/Collapsed_14_Inputs!$P14,0)</x:f>
        <x:v>0.24604689816861608</x:v>
      </x:c>
      <x:c r="I14" s="53" t="n">
        <x:f>IFERROR(Collapsed_14_Inputs!I14/Collapsed_14_Inputs!$P14,0)</x:f>
        <x:v>0.023114507528649963</x:v>
      </x:c>
      <x:c r="J14" s="53" t="n">
        <x:f>IFERROR(Collapsed_14_Inputs!J14/Collapsed_14_Inputs!$P14,0)</x:f>
        <x:v>0.017929970776279523</x:v>
      </x:c>
      <x:c r="K14" s="53" t="n">
        <x:f>IFERROR(Collapsed_14_Inputs!K14/Collapsed_14_Inputs!$P14,0)</x:f>
        <x:v>0</x:v>
      </x:c>
      <x:c r="L14" s="53" t="n">
        <x:f>IFERROR(Collapsed_14_Inputs!L14/Collapsed_14_Inputs!$P14,0)</x:f>
        <x:v>0.007795720820294322</x:v>
      </x:c>
      <x:c r="M14" s="53" t="n">
        <x:f>IFERROR(Collapsed_14_Inputs!M14/Collapsed_14_Inputs!$P14,0)</x:f>
        <x:v>0.007038800790751929</x:v>
      </x:c>
      <x:c r="N14" s="53" t="n">
        <x:f>IFERROR(Collapsed_14_Inputs!N14/Collapsed_14_Inputs!$P14,0)</x:f>
        <x:v>0.07967494012321104</x:v>
      </x:c>
      <x:c r="O14" s="53" t="n">
        <x:f>IFERROR(Collapsed_14_Inputs!O14/Collapsed_14_Inputs!$P14,0)</x:f>
        <x:v>0.0024256524144871867</x:v>
      </x:c>
      <x:c r="P14" s="53" t="n">
        <x:f>SUM(B14:O14)</x:f>
        <x:v>1</x:v>
      </x:c>
      <x:c r="Q14" s="18" t="str">
        <x:v>EXACT — collapsed/renormalized from authors' 35×35 W</x:v>
      </x:c>
    </x:row>
    <x:row r="15">
      <x:c r="A15" s="18" t="str">
        <x:v>SG</x:v>
      </x:c>
      <x:c r="B15" s="53" t="n">
        <x:f>IFERROR(Collapsed_14_Inputs!B15/Collapsed_14_Inputs!$P15,0)</x:f>
        <x:v>0.055160387780936244</x:v>
      </x:c>
      <x:c r="C15" s="53" t="n">
        <x:f>IFERROR(Collapsed_14_Inputs!C15/Collapsed_14_Inputs!$P15,0)</x:f>
        <x:v>0.008006786877107326</x:v>
      </x:c>
      <x:c r="D15" s="53" t="n">
        <x:f>IFERROR(Collapsed_14_Inputs!D15/Collapsed_14_Inputs!$P15,0)</x:f>
        <x:v>0.008540322599750615</x:v>
      </x:c>
      <x:c r="E15" s="53" t="n">
        <x:f>IFERROR(Collapsed_14_Inputs!E15/Collapsed_14_Inputs!$P15,0)</x:f>
        <x:v>0.01567143965344099</x:v>
      </x:c>
      <x:c r="F15" s="53" t="n">
        <x:f>IFERROR(Collapsed_14_Inputs!F15/Collapsed_14_Inputs!$P15,0)</x:f>
        <x:v>0.20051318798962556</x:v>
      </x:c>
      <x:c r="G15" s="53" t="n">
        <x:f>IFERROR(Collapsed_14_Inputs!G15/Collapsed_14_Inputs!$P15,0)</x:f>
        <x:v>0.17590332220832658</x:v>
      </x:c>
      <x:c r="H15" s="53" t="n">
        <x:f>IFERROR(Collapsed_14_Inputs!H15/Collapsed_14_Inputs!$P15,0)</x:f>
        <x:v>0.044099137682553774</x:v>
      </x:c>
      <x:c r="I15" s="53" t="n">
        <x:f>IFERROR(Collapsed_14_Inputs!I15/Collapsed_14_Inputs!$P15,0)</x:f>
        <x:v>0.15448835322611595</x:v>
      </x:c>
      <x:c r="J15" s="53" t="n">
        <x:f>IFERROR(Collapsed_14_Inputs!J15/Collapsed_14_Inputs!$P15,0)</x:f>
        <x:v>0.09508307429238981</x:v>
      </x:c>
      <x:c r="K15" s="53" t="n">
        <x:f>IFERROR(Collapsed_14_Inputs!K15/Collapsed_14_Inputs!$P15,0)</x:f>
        <x:v>0.004770793185167792</x:v>
      </x:c>
      <x:c r="L15" s="53" t="n">
        <x:f>IFERROR(Collapsed_14_Inputs!L15/Collapsed_14_Inputs!$P15,0)</x:f>
        <x:v>0</x:v>
      </x:c>
      <x:c r="M15" s="53" t="n">
        <x:f>IFERROR(Collapsed_14_Inputs!M15/Collapsed_14_Inputs!$P15,0)</x:f>
        <x:v>0.003006950080140586</x:v>
      </x:c>
      <x:c r="N15" s="53" t="n">
        <x:f>IFERROR(Collapsed_14_Inputs!N15/Collapsed_14_Inputs!$P15,0)</x:f>
        <x:v>0.22946672224344153</x:v>
      </x:c>
      <x:c r="O15" s="53" t="n">
        <x:f>IFERROR(Collapsed_14_Inputs!O15/Collapsed_14_Inputs!$P15,0)</x:f>
        <x:v>0.005289522181003219</x:v>
      </x:c>
      <x:c r="P15" s="53" t="n">
        <x:f>SUM(B15:O15)</x:f>
        <x:v>1.0000000000000002</x:v>
      </x:c>
      <x:c r="Q15" s="18" t="str">
        <x:v>EXACT — collapsed/renormalized from authors' 35×35 W</x:v>
      </x:c>
    </x:row>
    <x:row r="16">
      <x:c r="A16" s="18" t="str">
        <x:v>TR</x:v>
      </x:c>
      <x:c r="B16" s="53" t="n">
        <x:f>IFERROR(Collapsed_14_Inputs!B16/Collapsed_14_Inputs!$P16,0)</x:f>
        <x:v>0.006004485955017375</x:v>
      </x:c>
      <x:c r="C16" s="53" t="n">
        <x:f>IFERROR(Collapsed_14_Inputs!C16/Collapsed_14_Inputs!$P16,0)</x:f>
        <x:v>0.010402467526432849</x:v>
      </x:c>
      <x:c r="D16" s="53" t="n">
        <x:f>IFERROR(Collapsed_14_Inputs!D16/Collapsed_14_Inputs!$P16,0)</x:f>
        <x:v>0.009224967127695247</x:v>
      </x:c>
      <x:c r="E16" s="53" t="n">
        <x:f>IFERROR(Collapsed_14_Inputs!E16/Collapsed_14_Inputs!$P16,0)</x:f>
        <x:v>0.038620154396223356</x:v>
      </x:c>
      <x:c r="F16" s="53" t="n">
        <x:f>IFERROR(Collapsed_14_Inputs!F16/Collapsed_14_Inputs!$P16,0)</x:f>
        <x:v>0.09057560127746737</x:v>
      </x:c>
      <x:c r="G16" s="53" t="n">
        <x:f>IFERROR(Collapsed_14_Inputs!G16/Collapsed_14_Inputs!$P16,0)</x:f>
        <x:v>0.5805951676770112</x:v>
      </x:c>
      <x:c r="H16" s="53" t="n">
        <x:f>IFERROR(Collapsed_14_Inputs!H16/Collapsed_14_Inputs!$P16,0)</x:f>
        <x:v>0.0848578296366904</x:v>
      </x:c>
      <x:c r="I16" s="53" t="n">
        <x:f>IFERROR(Collapsed_14_Inputs!I16/Collapsed_14_Inputs!$P16,0)</x:f>
        <x:v>0.026042965703542677</x:v>
      </x:c>
      <x:c r="J16" s="53" t="n">
        <x:f>IFERROR(Collapsed_14_Inputs!J16/Collapsed_14_Inputs!$P16,0)</x:f>
        <x:v>0.028690018247739757</x:v>
      </x:c>
      <x:c r="K16" s="53" t="n">
        <x:f>IFERROR(Collapsed_14_Inputs!K16/Collapsed_14_Inputs!$P16,0)</x:f>
        <x:v>0.006791663056050576</x:v>
      </x:c>
      <x:c r="L16" s="53" t="n">
        <x:f>IFERROR(Collapsed_14_Inputs!L16/Collapsed_14_Inputs!$P16,0)</x:f>
        <x:v>0.0045822171820114705</x:v>
      </x:c>
      <x:c r="M16" s="53" t="n">
        <x:f>IFERROR(Collapsed_14_Inputs!M16/Collapsed_14_Inputs!$P16,0)</x:f>
        <x:v>0</x:v>
      </x:c>
      <x:c r="N16" s="53" t="n">
        <x:f>IFERROR(Collapsed_14_Inputs!N16/Collapsed_14_Inputs!$P16,0)</x:f>
        <x:v>0.10124355897486133</x:v>
      </x:c>
      <x:c r="O16" s="53" t="n">
        <x:f>IFERROR(Collapsed_14_Inputs!O16/Collapsed_14_Inputs!$P16,0)</x:f>
        <x:v>0.012368903239256376</x:v>
      </x:c>
      <x:c r="P16" s="53" t="n">
        <x:f>SUM(B16:O16)</x:f>
        <x:v>1.0000000000000002</x:v>
      </x:c>
      <x:c r="Q16" s="18" t="str">
        <x:v>EXACT — collapsed/renormalized from authors' 35×35 W</x:v>
      </x:c>
    </x:row>
    <x:row r="17">
      <x:c r="A17" s="18" t="str">
        <x:v>US</x:v>
      </x:c>
      <x:c r="B17" s="53" t="n">
        <x:f>IFERROR(Collapsed_14_Inputs!B17/Collapsed_14_Inputs!$P17,0)</x:f>
        <x:v>0.015604921055518157</x:v>
      </x:c>
      <x:c r="C17" s="53" t="n">
        <x:f>IFERROR(Collapsed_14_Inputs!C17/Collapsed_14_Inputs!$P17,0)</x:f>
        <x:v>0.027680180541471873</x:v>
      </x:c>
      <x:c r="D17" s="53" t="n">
        <x:f>IFERROR(Collapsed_14_Inputs!D17/Collapsed_14_Inputs!$P17,0)</x:f>
        <x:v>0.2890432117397789</x:v>
      </x:c>
      <x:c r="E17" s="53" t="n">
        <x:f>IFERROR(Collapsed_14_Inputs!E17/Collapsed_14_Inputs!$P17,0)</x:f>
        <x:v>0.01791539719667644</x:v>
      </x:c>
      <x:c r="F17" s="53" t="n">
        <x:f>IFERROR(Collapsed_14_Inputs!F17/Collapsed_14_Inputs!$P17,0)</x:f>
        <x:v>0.1867842338077868</x:v>
      </x:c>
      <x:c r="G17" s="53" t="n">
        <x:f>IFERROR(Collapsed_14_Inputs!G17/Collapsed_14_Inputs!$P17,0)</x:f>
        <x:v>0.2029873236729741</x:v>
      </x:c>
      <x:c r="H17" s="53" t="n">
        <x:f>IFERROR(Collapsed_14_Inputs!H17/Collapsed_14_Inputs!$P17,0)</x:f>
        <x:v>0.05592137227498405</x:v>
      </x:c>
      <x:c r="I17" s="53" t="n">
        <x:f>IFERROR(Collapsed_14_Inputs!I17/Collapsed_14_Inputs!$P17,0)</x:f>
        <x:v>0.1160461685130581</x:v>
      </x:c>
      <x:c r="J17" s="53" t="n">
        <x:f>IFERROR(Collapsed_14_Inputs!J17/Collapsed_14_Inputs!$P17,0)</x:f>
        <x:v>0.04544660950997641</x:v>
      </x:c>
      <x:c r="K17" s="53" t="n">
        <x:f>IFERROR(Collapsed_14_Inputs!K17/Collapsed_14_Inputs!$P17,0)</x:f>
        <x:v>0.005341521901454869</x:v>
      </x:c>
      <x:c r="L17" s="53" t="n">
        <x:f>IFERROR(Collapsed_14_Inputs!L17/Collapsed_14_Inputs!$P17,0)</x:f>
        <x:v>0.023905542061020822</x:v>
      </x:c>
      <x:c r="M17" s="53" t="n">
        <x:f>IFERROR(Collapsed_14_Inputs!M17/Collapsed_14_Inputs!$P17,0)</x:f>
        <x:v>0.006635911851100419</x:v>
      </x:c>
      <x:c r="N17" s="53" t="n">
        <x:f>IFERROR(Collapsed_14_Inputs!N17/Collapsed_14_Inputs!$P17,0)</x:f>
        <x:v>0</x:v>
      </x:c>
      <x:c r="O17" s="53" t="n">
        <x:f>IFERROR(Collapsed_14_Inputs!O17/Collapsed_14_Inputs!$P17,0)</x:f>
        <x:v>0.006687605874199075</x:v>
      </x:c>
      <x:c r="P17" s="53" t="n">
        <x:f>SUM(B17:O17)</x:f>
        <x:v>1.0000000000000002</x:v>
      </x:c>
      <x:c r="Q17" s="18" t="str">
        <x:v>EXACT — collapsed/renormalized from authors' 35×35 W</x:v>
      </x:c>
    </x:row>
    <x:row r="18">
      <x:c r="A18" s="18" t="str">
        <x:v>ZA</x:v>
      </x:c>
      <x:c r="B18" s="53" t="n">
        <x:f>IFERROR(Collapsed_14_Inputs!B18/Collapsed_14_Inputs!$P18,0)</x:f>
        <x:v>0.028349330478216368</x:v>
      </x:c>
      <x:c r="C18" s="53" t="n">
        <x:f>IFERROR(Collapsed_14_Inputs!C18/Collapsed_14_Inputs!$P18,0)</x:f>
        <x:v>0.02143620558728781</x:v>
      </x:c>
      <x:c r="D18" s="53" t="n">
        <x:f>IFERROR(Collapsed_14_Inputs!D18/Collapsed_14_Inputs!$P18,0)</x:f>
        <x:v>0.014724102312550408</x:v>
      </x:c>
      <x:c r="E18" s="53" t="n">
        <x:f>IFERROR(Collapsed_14_Inputs!E18/Collapsed_14_Inputs!$P18,0)</x:f>
        <x:v>0.025934712782465553</x:v>
      </x:c>
      <x:c r="F18" s="53" t="n">
        <x:f>IFERROR(Collapsed_14_Inputs!F18/Collapsed_14_Inputs!$P18,0)</x:f>
        <x:v>0.14608951169010032</x:v>
      </x:c>
      <x:c r="G18" s="53" t="n">
        <x:f>IFERROR(Collapsed_14_Inputs!G18/Collapsed_14_Inputs!$P18,0)</x:f>
        <x:v>0.360222340661362</x:v>
      </x:c>
      <x:c r="H18" s="53" t="n">
        <x:f>IFERROR(Collapsed_14_Inputs!H18/Collapsed_14_Inputs!$P18,0)</x:f>
        <x:v>0.09678223916006734</x:v>
      </x:c>
      <x:c r="I18" s="53" t="n">
        <x:f>IFERROR(Collapsed_14_Inputs!I18/Collapsed_14_Inputs!$P18,0)</x:f>
        <x:v>0.10883863086450613</x:v>
      </x:c>
      <x:c r="J18" s="53" t="n">
        <x:f>IFERROR(Collapsed_14_Inputs!J18/Collapsed_14_Inputs!$P18,0)</x:f>
        <x:v>0.03201941353759368</x:v>
      </x:c>
      <x:c r="K18" s="53" t="n">
        <x:f>IFERROR(Collapsed_14_Inputs!K18/Collapsed_14_Inputs!$P18,0)</x:f>
        <x:v>0.003017493880207719</x:v>
      </x:c>
      <x:c r="L18" s="53" t="n">
        <x:f>IFERROR(Collapsed_14_Inputs!L18/Collapsed_14_Inputs!$P18,0)</x:f>
        <x:v>0.01415311036379158</x:v>
      </x:c>
      <x:c r="M18" s="53" t="n">
        <x:f>IFERROR(Collapsed_14_Inputs!M18/Collapsed_14_Inputs!$P18,0)</x:f>
        <x:v>0.008852592009131343</x:v>
      </x:c>
      <x:c r="N18" s="53" t="n">
        <x:f>IFERROR(Collapsed_14_Inputs!N18/Collapsed_14_Inputs!$P18,0)</x:f>
        <x:v>0.13958031667271964</x:v>
      </x:c>
      <x:c r="O18" s="53" t="n">
        <x:f>IFERROR(Collapsed_14_Inputs!O18/Collapsed_14_Inputs!$P18,0)</x:f>
        <x:v>0</x:v>
      </x:c>
      <x:c r="P18" s="53" t="n">
        <x:f>SUM(B18:O18)</x:f>
        <x:v>0.9999999999999998</x:v>
      </x:c>
      <x:c r="Q18" s="18" t="str">
        <x:v>EXACT — collapsed/renormalized from authors' 35×35 W</x:v>
      </x:c>
    </x:row>
  </x:sheetData>
  <x:mergeCells>
    <x:mergeCell ref="A1:Q1"/>
    <x:mergeCell ref="A2:Q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3" hidden="0" customWidth="1"/>
    <x:col min="5" max="5" width="8" hidden="0" customWidth="1"/>
    <x:col min="6" max="6" width="24" hidden="0" customWidth="1"/>
    <x:col min="7" max="7" width="44" hidden="0" customWidth="1"/>
    <x:col min="8" max="8" width="46" hidden="0" customWidth="1"/>
  </x:cols>
  <x:sheetData>
    <x:row r="1">
      <x:c r="A1" s="43" t="str">
        <x:v>EA10 bilateral trade reconstruction — provisional diagnostic only</x:v>
      </x:c>
      <x:c r="B1" s="43"/>
      <x:c r="C1" s="43"/>
      <x:c r="D1" s="43"/>
      <x:c r="E1" s="43"/>
      <x:c r="F1" s="43"/>
      <x:c r="G1" s="43"/>
      <x:c r="H1" s="43"/>
    </x:row>
    <x:row r="2">
      <x:c r="A2" s="47" t="str">
        <x:v>EA10 = AT, BE, DE, ES, FI, FR, GR, IT, NL, PT. Reconstructed_Bilateral_Index is unit-free and inferred from authors' bilateral weight consistency; it is NOT IMF/UN Comtrade USD data.</x:v>
      </x:c>
      <x:c r="B2" s="47"/>
      <x:c r="C2" s="47"/>
      <x:c r="D2" s="47"/>
      <x:c r="E2" s="47"/>
      <x:c r="F2" s="47"/>
      <x:c r="G2" s="47"/>
      <x:c r="H2" s="47"/>
    </x:row>
    <x:row r="4">
      <x:c r="A4" s="52" t="str">
        <x:v>Partner</x:v>
      </x:c>
      <x:c r="B4" s="52" t="str">
        <x:v>Paper code</x:v>
      </x:c>
      <x:c r="C4" s="52" t="str">
        <x:v>Reconstructed_Bilateral_Index</x:v>
      </x:c>
      <x:c r="D4" s="52" t="str">
        <x:v>EA weight</x:v>
      </x:c>
      <x:c r="E4" s="52" t="str">
        <x:v>Rank</x:v>
      </x:c>
      <x:c r="F4" s="52" t="str">
        <x:v>Official status</x:v>
      </x:c>
      <x:c r="G4" s="52" t="str">
        <x:v>Method note</x:v>
      </x:c>
      <x:c r="H4" s="52" t="str">
        <x:v>Source / audit URL</x:v>
      </x:c>
    </x:row>
    <x:row r="5">
      <x:c r="A5" s="18" t="str">
        <x:v>AU</x:v>
      </x:c>
      <x:c r="B5" s="18" t="str">
        <x:v>AU</x:v>
      </x:c>
      <x:c r="C5" s="53" t="n">
        <x:v>0.0996733978445659</x:v>
      </x:c>
      <x:c r="D5" s="53" t="n">
        <x:v>0.01623538944588002</x:v>
      </x:c>
      <x:c r="E5" s="18" t="n">
        <x:v>13</x:v>
      </x:c>
      <x:c r="F5" s="18" t="str">
        <x:v>PENDING official raw flow</x:v>
      </x:c>
      <x:c r="G5" s="18" t="str">
        <x:v>Scale-recovery LS on reciprocal W_ij/W_ji; aggregate 10 member bilateral indices</x:v>
      </x:c>
      <x:c r="H5" s="18" t="str">
        <x:v>https://data.imf.org/en/datasets/IMF.STA%3AIMTS</x:v>
      </x:c>
    </x:row>
    <x:row r="6">
      <x:c r="A6" s="18" t="str">
        <x:v>BR</x:v>
      </x:c>
      <x:c r="B6" s="18" t="str">
        <x:v>BR</x:v>
      </x:c>
      <x:c r="C6" s="53" t="n">
        <x:v>0.1872113454288668</x:v>
      </x:c>
      <x:c r="D6" s="53" t="n">
        <x:v>0.0304940853573051</x:v>
      </x:c>
      <x:c r="E6" s="18" t="n">
        <x:v>8</x:v>
      </x:c>
      <x:c r="F6" s="18" t="str">
        <x:v>PENDING official raw flow</x:v>
      </x:c>
      <x:c r="G6" s="18" t="str">
        <x:v>Scale-recovery LS on reciprocal W_ij/W_ji; aggregate 10 member bilateral indices</x:v>
      </x:c>
      <x:c r="H6" s="18" t="str">
        <x:v>https://data.imf.org/en/datasets/IMF.STA%3AIMTS</x:v>
      </x:c>
    </x:row>
    <x:row r="7">
      <x:c r="A7" s="18" t="str">
        <x:v>CA</x:v>
      </x:c>
      <x:c r="B7" s="18" t="str">
        <x:v>CA</x:v>
      </x:c>
      <x:c r="C7" s="53" t="n">
        <x:v>0.12770541030638763</x:v>
      </x:c>
      <x:c r="D7" s="53" t="n">
        <x:v>0.020801408555403633</x:v>
      </x:c>
      <x:c r="E7" s="18" t="n">
        <x:v>10</x:v>
      </x:c>
      <x:c r="F7" s="18" t="str">
        <x:v>PENDING official raw flow</x:v>
      </x:c>
      <x:c r="G7" s="18" t="str">
        <x:v>Scale-recovery LS on reciprocal W_ij/W_ji; aggregate 10 member bilateral indices</x:v>
      </x:c>
      <x:c r="H7" s="18" t="str">
        <x:v>https://data.imf.org/en/datasets/IMF.STA%3AIMTS</x:v>
      </x:c>
    </x:row>
    <x:row r="8">
      <x:c r="A8" s="18" t="str">
        <x:v>CH</x:v>
      </x:c>
      <x:c r="B8" s="18" t="str">
        <x:v>CH</x:v>
      </x:c>
      <x:c r="C8" s="53" t="n">
        <x:v>0.7572670971600577</x:v>
      </x:c>
      <x:c r="D8" s="53" t="n">
        <x:v>0.1233481199880143</x:v>
      </x:c>
      <x:c r="E8" s="18" t="n">
        <x:v>4</x:v>
      </x:c>
      <x:c r="F8" s="18" t="str">
        <x:v>PENDING official raw flow</x:v>
      </x:c>
      <x:c r="G8" s="18" t="str">
        <x:v>Scale-recovery LS on reciprocal W_ij/W_ji; aggregate 10 member bilateral indices</x:v>
      </x:c>
      <x:c r="H8" s="18" t="str">
        <x:v>https://data.imf.org/en/datasets/IMF.STA%3AIMTS</x:v>
      </x:c>
    </x:row>
    <x:row r="9">
      <x:c r="A9" s="18" t="str">
        <x:v>CN</x:v>
      </x:c>
      <x:c r="B9" s="18" t="str">
        <x:v>CN</x:v>
      </x:c>
      <x:c r="C9" s="53" t="n">
        <x:v>0.859766338774054</x:v>
      </x:c>
      <x:c r="D9" s="53" t="n">
        <x:v>0.1400437994922453</x:v>
      </x:c>
      <x:c r="E9" s="18" t="n">
        <x:v>3</x:v>
      </x:c>
      <x:c r="F9" s="18" t="str">
        <x:v>PENDING official raw flow</x:v>
      </x:c>
      <x:c r="G9" s="18" t="str">
        <x:v>Scale-recovery LS on reciprocal W_ij/W_ji; aggregate 10 member bilateral indices</x:v>
      </x:c>
      <x:c r="H9" s="18" t="str">
        <x:v>https://data.imf.org/en/datasets/IMF.STA%3AIMTS</x:v>
      </x:c>
    </x:row>
    <x:row r="10">
      <x:c r="A10" s="18" t="str">
        <x:v>UK</x:v>
      </x:c>
      <x:c r="B10" s="18" t="str">
        <x:v>GB</x:v>
      </x:c>
      <x:c r="C10" s="53" t="n">
        <x:v>1.4642813053815416</x:v>
      </x:c>
      <x:c r="D10" s="53" t="n">
        <x:v>0.2385107537746792</x:v>
      </x:c>
      <x:c r="E10" s="18" t="n">
        <x:v>1</x:v>
      </x:c>
      <x:c r="F10" s="18" t="str">
        <x:v>PENDING official raw flow</x:v>
      </x:c>
      <x:c r="G10" s="18" t="str">
        <x:v>Scale-recovery LS on reciprocal W_ij/W_ji; aggregate 10 member bilateral indices</x:v>
      </x:c>
      <x:c r="H10" s="18" t="str">
        <x:v>https://data.imf.org/en/datasets/IMF.STA%3AIMTS</x:v>
      </x:c>
    </x:row>
    <x:row r="11">
      <x:c r="A11" s="18" t="str">
        <x:v>JP</x:v>
      </x:c>
      <x:c r="B11" s="18" t="str">
        <x:v>JP</x:v>
      </x:c>
      <x:c r="C11" s="53" t="n">
        <x:v>0.4071773566635003</x:v>
      </x:c>
      <x:c r="D11" s="53" t="n">
        <x:v>0.06632344338541404</x:v>
      </x:c>
      <x:c r="E11" s="18" t="n">
        <x:v>5</x:v>
      </x:c>
      <x:c r="F11" s="18" t="str">
        <x:v>PENDING official raw flow</x:v>
      </x:c>
      <x:c r="G11" s="18" t="str">
        <x:v>Scale-recovery LS on reciprocal W_ij/W_ji; aggregate 10 member bilateral indices</x:v>
      </x:c>
      <x:c r="H11" s="18" t="str">
        <x:v>https://data.imf.org/en/datasets/IMF.STA%3AIMTS</x:v>
      </x:c>
    </x:row>
    <x:row r="12">
      <x:c r="A12" s="18" t="str">
        <x:v>KR</x:v>
      </x:c>
      <x:c r="B12" s="18" t="str">
        <x:v>KR</x:v>
      </x:c>
      <x:c r="C12" s="53" t="n">
        <x:v>0.18551708420202417</x:v>
      </x:c>
      <x:c r="D12" s="53" t="n">
        <x:v>0.030218114120890146</x:v>
      </x:c>
      <x:c r="E12" s="18" t="n">
        <x:v>9</x:v>
      </x:c>
      <x:c r="F12" s="18" t="str">
        <x:v>PENDING official raw flow</x:v>
      </x:c>
      <x:c r="G12" s="18" t="str">
        <x:v>Scale-recovery LS on reciprocal W_ij/W_ji; aggregate 10 member bilateral indices</x:v>
      </x:c>
      <x:c r="H12" s="18" t="str">
        <x:v>https://data.imf.org/en/datasets/IMF.STA%3AIMTS</x:v>
      </x:c>
    </x:row>
    <x:row r="13">
      <x:c r="A13" s="18" t="str">
        <x:v>NO</x:v>
      </x:c>
      <x:c r="B13" s="18" t="str">
        <x:v>NO</x:v>
      </x:c>
      <x:c r="C13" s="53" t="n">
        <x:v>0.23835299569529111</x:v>
      </x:c>
      <x:c r="D13" s="53" t="n">
        <x:v>0.03882433823255269</x:v>
      </x:c>
      <x:c r="E13" s="18" t="n">
        <x:v>7</x:v>
      </x:c>
      <x:c r="F13" s="18" t="str">
        <x:v>PENDING official raw flow</x:v>
      </x:c>
      <x:c r="G13" s="18" t="str">
        <x:v>Scale-recovery LS on reciprocal W_ij/W_ji; aggregate 10 member bilateral indices</x:v>
      </x:c>
      <x:c r="H13" s="18" t="str">
        <x:v>https://data.imf.org/en/datasets/IMF.STA%3AIMTS</x:v>
      </x:c>
    </x:row>
    <x:row r="14">
      <x:c r="A14" s="18" t="str">
        <x:v>SG</x:v>
      </x:c>
      <x:c r="B14" s="18" t="str">
        <x:v>SG</x:v>
      </x:c>
      <x:c r="C14" s="53" t="n">
        <x:v>0.12183360172516443</x:v>
      </x:c>
      <x:c r="D14" s="53" t="n">
        <x:v>0.019844973828291375</x:v>
      </x:c>
      <x:c r="E14" s="18" t="n">
        <x:v>11</x:v>
      </x:c>
      <x:c r="F14" s="18" t="str">
        <x:v>PENDING official raw flow</x:v>
      </x:c>
      <x:c r="G14" s="18" t="str">
        <x:v>Scale-recovery LS on reciprocal W_ij/W_ji; aggregate 10 member bilateral indices</x:v>
      </x:c>
      <x:c r="H14" s="18" t="str">
        <x:v>https://data.imf.org/en/datasets/IMF.STA%3AIMTS</x:v>
      </x:c>
    </x:row>
    <x:row r="15">
      <x:c r="A15" s="18" t="str">
        <x:v>TR</x:v>
      </x:c>
      <x:c r="B15" s="18" t="str">
        <x:v>TR</x:v>
      </x:c>
      <x:c r="C15" s="53" t="n">
        <x:v>0.2650529913747402</x:v>
      </x:c>
      <x:c r="D15" s="53" t="n">
        <x:v>0.043173390611956484</x:v>
      </x:c>
      <x:c r="E15" s="18" t="n">
        <x:v>6</x:v>
      </x:c>
      <x:c r="F15" s="18" t="str">
        <x:v>PENDING official raw flow</x:v>
      </x:c>
      <x:c r="G15" s="18" t="str">
        <x:v>Scale-recovery LS on reciprocal W_ij/W_ji; aggregate 10 member bilateral indices</x:v>
      </x:c>
      <x:c r="H15" s="18" t="str">
        <x:v>https://data.imf.org/en/datasets/IMF.STA%3AIMTS</x:v>
      </x:c>
    </x:row>
    <x:row r="16">
      <x:c r="A16" s="18" t="str">
        <x:v>US</x:v>
      </x:c>
      <x:c r="B16" s="18" t="str">
        <x:v>US</x:v>
      </x:c>
      <x:c r="C16" s="53" t="n">
        <x:v>1.3094880797112416</x:v>
      </x:c>
      <x:c r="D16" s="53" t="n">
        <x:v>0.21329712248802066</x:v>
      </x:c>
      <x:c r="E16" s="18" t="n">
        <x:v>2</x:v>
      </x:c>
      <x:c r="F16" s="18" t="str">
        <x:v>PENDING official raw flow</x:v>
      </x:c>
      <x:c r="G16" s="18" t="str">
        <x:v>Scale-recovery LS on reciprocal W_ij/W_ji; aggregate 10 member bilateral indices</x:v>
      </x:c>
      <x:c r="H16" s="18" t="str">
        <x:v>https://data.imf.org/en/datasets/IMF.STA%3AIMTS</x:v>
      </x:c>
    </x:row>
    <x:row r="17">
      <x:c r="A17" s="18" t="str">
        <x:v>ZA</x:v>
      </x:c>
      <x:c r="B17" s="18" t="str">
        <x:v>ZA</x:v>
      </x:c>
      <x:c r="C17" s="53" t="n">
        <x:v>0.1159404384276056</x:v>
      </x:c>
      <x:c r="D17" s="53" t="n">
        <x:v>0.018885060719346928</x:v>
      </x:c>
      <x:c r="E17" s="18" t="n">
        <x:v>12</x:v>
      </x:c>
      <x:c r="F17" s="18" t="str">
        <x:v>PENDING official raw flow</x:v>
      </x:c>
      <x:c r="G17" s="18" t="str">
        <x:v>Scale-recovery LS on reciprocal W_ij/W_ji; aggregate 10 member bilateral indices</x:v>
      </x:c>
      <x:c r="H17" s="18" t="str">
        <x:v>https://data.imf.org/en/datasets/IMF.STA%3AIMTS</x:v>
      </x:c>
    </x:row>
    <x:row r="19">
      <x:c r="A19" s="51" t="str">
        <x:v>Diagnostic</x:v>
      </x:c>
      <x:c r="B19" s="51" t="str">
        <x:v>Value</x:v>
      </x:c>
    </x:row>
    <x:row r="20">
      <x:c r="A20" t="str">
        <x:v>Reciprocal log-equation RMSE</x:v>
      </x:c>
      <x:c r="B20" s="26" t="n">
        <x:v>0.2098072267542675</x:v>
      </x:c>
    </x:row>
    <x:row r="21">
      <x:c r="A21" t="str">
        <x:v>Median |log residual|</x:v>
      </x:c>
      <x:c r="B21" s="26" t="n">
        <x:v>0.08006514948828736</x:v>
      </x:c>
    </x:row>
    <x:row r="22">
      <x:c r="A22" t="str">
        <x:v>95th percentile |log residual|</x:v>
      </x:c>
      <x:c r="B22" s="26" t="n">
        <x:v>0.4062137369454905</x:v>
      </x:c>
    </x:row>
    <x:row r="23">
      <x:c r="A23" t="str">
        <x:v>EA weight sum</x:v>
      </x:c>
      <x:c r="B23" s="26" t="n">
        <x:v>1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70" hidden="0" customWidth="1"/>
    <x:col min="4" max="4" width="60" hidden="0" customWidth="1"/>
  </x:cols>
  <x:sheetData>
    <x:row r="1">
      <x:c r="A1" s="43" t="str">
        <x:v>Audit notes — what is exact vs provisional</x:v>
      </x:c>
      <x:c r="B1" s="43"/>
      <x:c r="C1" s="43"/>
      <x:c r="D1" s="43"/>
    </x:row>
    <x:row r="3">
      <x:c r="A3" s="52" t="str">
        <x:v>Item</x:v>
      </x:c>
      <x:c r="B3" s="52" t="str">
        <x:v>Status</x:v>
      </x:c>
      <x:c r="C3" s="52" t="str">
        <x:v>Detail</x:v>
      </x:c>
      <x:c r="D3" s="52" t="str">
        <x:v>Source URL</x:v>
      </x:c>
    </x:row>
    <x:row r="4">
      <x:c r="A4" s="18" t="str">
        <x:v>Project window</x:v>
      </x:c>
      <x:c r="B4" s="18" t="str">
        <x:v>Fixed</x:v>
      </x:c>
      <x:c r="C4" s="18" t="str">
        <x:v>2000–2014 average bilateral annual trade flows (project convention).</x:v>
      </x:c>
      <x:c r="D4" s="18" t="str">
        <x:v>https://doi.org/10.1111/rssa.12439</x:v>
      </x:c>
    </x:row>
    <x:row r="5">
      <x:c r="A5" s="18" t="str">
        <x:v>Authors' 35×35 W</x:v>
      </x:c>
      <x:c r="B5" s="18" t="str">
        <x:v>Exact</x:v>
      </x:c>
      <x:c r="C5" s="18" t="str">
        <x:v>Imported from the authors' replication package already embedded in this workbook.</x:v>
      </x:c>
      <x:c r="D5" s="18" t="str">
        <x:v>https://drive.google.com/file/d/1rVb5xVuBQgqKT-UCgxRtHwrwUg-unZVw/view?usp=sharing</x:v>
      </x:c>
    </x:row>
    <x:row r="6">
      <x:c r="A6" s="18" t="str">
        <x:v>Non-EA→EA columns</x:v>
      </x:c>
      <x:c r="B6" s="18" t="str">
        <x:v>Exact from W</x:v>
      </x:c>
      <x:c r="C6" s="18" t="str">
        <x:v>For each non-EA reporter, sum AT+BE+DE+ES+FI+FR+GR+IT+NL+PT original weights, then re-normalize over the 14 project nodes.</x:v>
      </x:c>
      <x:c r="D6" s="18" t="str">
        <x:v>https://doi.org/10.1111/rssa.12439</x:v>
      </x:c>
    </x:row>
    <x:row r="7">
      <x:c r="A7" s="18" t="str">
        <x:v>EA→13 row</x:v>
      </x:c>
      <x:c r="B7" s="18" t="str">
        <x:v>PROVISIONAL</x:v>
      </x:c>
      <x:c r="C7" s="18" t="str">
        <x:v>Official IMF IMTS raw EA10 member↔partner annual flows are not yet locally retrievable in this environment. EA row is reconstructed from bilateral consistency of the authors' W; not USD.</x:v>
      </x:c>
      <x:c r="D7" s="18" t="str">
        <x:v>https://data.imf.org/en/datasets/IMF.STA%3AIMTS</x:v>
      </x:c>
    </x:row>
    <x:row r="8">
      <x:c r="A8" s="18" t="str">
        <x:v>UN Comtrade fallback</x:v>
      </x:c>
      <x:c r="B8" s="18" t="str">
        <x:v>Official fallback</x:v>
      </x:c>
      <x:c r="C8" s="18" t="str">
        <x:v>Preview API exists without a key but is rate/record limited; full data access may require an API key depending endpoint/volume.</x:v>
      </x:c>
      <x:c r="D8" s="18" t="str">
        <x:v>https://uncomtrade.org/docs/un-comtrade-api/</x:v>
      </x:c>
    </x:row>
    <x:row r="9">
      <x:c r="A9" s="18" t="str">
        <x:v>Eurostat cross-check</x:v>
      </x:c>
      <x:c r="B9" s="18" t="str">
        <x:v>Not used in matrix</x:v>
      </x:c>
      <x:c r="C9" s="18" t="str">
        <x:v>Eurostat publishes extra-euro-area trade by partner, but current published aggregate is EA20 and starts in 2002; it does not match the paper-specific fixed EA10 definition.</x:v>
      </x:c>
      <x:c r="D9" s="18" t="str">
        <x:v>https://db.nomics.world/Eurostat/ext_lt_mainez</x:v>
      </x:c>
    </x:row>
    <x:row r="10">
      <x:c r="A10" s="18" t="str">
        <x:v>Formula</x:v>
      </x:c>
      <x:c r="B10" s="18" t="str">
        <x:v>Final weights</x:v>
      </x:c>
      <x:c r="C10" s="18" t="str">
        <x:v>Each row in Final_14x14 = Collapsed_14_Inputs numerator / selected-row numerator sum; diagonal = 0.</x:v>
      </x:c>
      <x:c r="D10" s="18" t="str"/>
    </x:row>
  </x:sheetData>
  <x:mergeCells>
    <x:mergeCell ref="A1:D1"/>
  </x:mergeCells>
  <x:pageMargins left="0.7" right="0.7" top="0.75" bottom="0.75" header="0.3" footer="0.3"/>
</x:worksheet>
</file>