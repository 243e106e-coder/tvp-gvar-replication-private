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e15d02c8e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439e37355d485e"/>
    <x:sheet xmlns:r="http://schemas.openxmlformats.org/officeDocument/2006/relationships" name="Imports_Sum" sheetId="2" r:id="R295b32aff7b14a1a"/>
    <x:sheet xmlns:r="http://schemas.openxmlformats.org/officeDocument/2006/relationships" name="Exports_Sum" sheetId="3" r:id="Rbd65dffeaa8e41fc"/>
    <x:sheet xmlns:r="http://schemas.openxmlformats.org/officeDocument/2006/relationships" name="Bilateral_Trade" sheetId="4" r:id="R6ded7cd39a87444b"/>
    <x:sheet xmlns:r="http://schemas.openxmlformats.org/officeDocument/2006/relationships" name="Trade_Weights" sheetId="5" r:id="Rf443e6a394e44836"/>
    <x:sheet xmlns:r="http://schemas.openxmlformats.org/officeDocument/2006/relationships" name="Data_Check" sheetId="6" r:id="R3f313936253f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0.0000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671d9eefe417d" /><Relationship Type="http://schemas.openxmlformats.org/officeDocument/2006/relationships/theme" Target="/xl/theme/theme1.xml" Id="R20a5d8f708104369" /><Relationship Type="http://schemas.openxmlformats.org/officeDocument/2006/relationships/sharedStrings" Target="/xl/sharedStrings.xml" Id="Rdf567c6265bb4bf2" /><Relationship Type="http://schemas.openxmlformats.org/officeDocument/2006/relationships/worksheet" Target="/xl/worksheets/sheet1.xml" Id="R60439e37355d485e" /><Relationship Type="http://schemas.openxmlformats.org/officeDocument/2006/relationships/worksheet" Target="/xl/worksheets/sheet2.xml" Id="R295b32aff7b14a1a" /><Relationship Type="http://schemas.openxmlformats.org/officeDocument/2006/relationships/worksheet" Target="/xl/worksheets/sheet3.xml" Id="Rbd65dffeaa8e41fc" /><Relationship Type="http://schemas.openxmlformats.org/officeDocument/2006/relationships/worksheet" Target="/xl/worksheets/sheet4.xml" Id="R6ded7cd39a87444b" /><Relationship Type="http://schemas.openxmlformats.org/officeDocument/2006/relationships/worksheet" Target="/xl/worksheets/sheet5.xml" Id="Rf443e6a394e44836" /><Relationship Type="http://schemas.openxmlformats.org/officeDocument/2006/relationships/worksheet" Target="/xl/worksheets/sheet6.xml" Id="R3f313936253f4b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4" max="4" width="10" hidden="0" customWidth="1"/>
    <x:col min="5" max="5" width="22" hidden="0" customWidth="1"/>
  </x:cols>
  <x:sheetData>
    <x:row r="1">
      <x:c r="A1" s="4" t="str">
        <x:v>14-Economy Trade Weights (2000–2012)</x:v>
      </x:c>
      <x:c r="B1" s="4"/>
      <x:c r="C1" s="4"/>
      <x:c r="D1" s="4"/>
      <x:c r="E1" s="4"/>
    </x:row>
    <x:row r="2">
      <x:c r="A2"/>
      <x:c r="B2"/>
      <x:c r="C2"/>
      <x:c r="D2"/>
      <x:c r="E2"/>
    </x:row>
    <x:row r="3">
      <x:c r="A3" s="12" t="str">
        <x:v>Item</x:v>
      </x:c>
      <x:c r="B3" s="12" t="str">
        <x:v>Description</x:v>
      </x:c>
      <x:c r="C3"/>
      <x:c r="D3" s="9" t="str">
        <x:v>Code</x:v>
      </x:c>
      <x:c r="E3" s="9" t="str">
        <x:v>Economy</x:v>
      </x:c>
    </x:row>
    <x:row r="4">
      <x:c r="A4" s="13" t="str">
        <x:v>Period</x:v>
      </x:c>
      <x:c r="B4" s="13" t="str">
        <x:v>2000–2012 (13 annual observations)</x:v>
      </x:c>
      <x:c r="C4"/>
      <x:c r="D4" t="str">
        <x:v>AU</x:v>
      </x:c>
      <x:c r="E4" t="str">
        <x:v>Australia</x:v>
      </x:c>
    </x:row>
    <x:row r="5">
      <x:c r="A5" s="13" t="str">
        <x:v>Economies</x:v>
      </x:c>
      <x:c r="B5" s="13" t="str">
        <x:v>AU, BR, CA, CH, CN, EA, UK, JP, KR, NO, SG, TR, US, ZA</x:v>
      </x:c>
      <x:c r="C5"/>
      <x:c r="D5" t="str">
        <x:v>BR</x:v>
      </x:c>
      <x:c r="E5" t="str">
        <x:v>Brazil</x:v>
      </x:c>
    </x:row>
    <x:row r="6">
      <x:c r="A6" s="13" t="str">
        <x:v>Import source</x:v>
      </x:c>
      <x:c r="B6" s="13" t="str">
        <x:v>入口(2).csv — Imports of goods, CIF, USD millions</x:v>
      </x:c>
      <x:c r="C6"/>
      <x:c r="D6" t="str">
        <x:v>CA</x:v>
      </x:c>
      <x:c r="E6" t="str">
        <x:v>Canada</x:v>
      </x:c>
    </x:row>
    <x:row r="7">
      <x:c r="A7" s="13" t="str">
        <x:v>Export source</x:v>
      </x:c>
      <x:c r="B7" s="13" t="str">
        <x:v>出口(2).csv — Exports of goods, FOB, USD millions</x:v>
      </x:c>
      <x:c r="C7"/>
      <x:c r="D7" t="str">
        <x:v>CH</x:v>
      </x:c>
      <x:c r="E7" t="str">
        <x:v>Switzerland</x:v>
      </x:c>
    </x:row>
    <x:row r="8">
      <x:c r="A8" s="13" t="str">
        <x:v>Bilateral trade</x:v>
      </x:c>
      <x:c r="B8" s="13" t="str">
        <x:v>For i≠j: sum over 2000–2012 of Imports(i←j) + Exports(i→j)</x:v>
      </x:c>
      <x:c r="C8"/>
      <x:c r="D8" t="str">
        <x:v>CN</x:v>
      </x:c>
      <x:c r="E8" t="str">
        <x:v>China</x:v>
      </x:c>
    </x:row>
    <x:row r="9">
      <x:c r="A9" s="13" t="str">
        <x:v>Diagonal</x:v>
      </x:c>
      <x:c r="B9" s="13" t="str">
        <x:v>Set to 0 for all economies; EA→EA is excluded from the GVAR weight.</x:v>
      </x:c>
      <x:c r="C9"/>
      <x:c r="D9" t="str">
        <x:v>EA</x:v>
      </x:c>
      <x:c r="E9" t="str">
        <x:v>Euro Area</x:v>
      </x:c>
    </x:row>
    <x:row r="10">
      <x:c r="A10" s="13" t="str">
        <x:v>Weight formula</x:v>
      </x:c>
      <x:c r="B10" s="13" t="str">
        <x:v>w_ij = T_ij / Σ_{j≠i} T_ij</x:v>
      </x:c>
      <x:c r="C10"/>
      <x:c r="D10" t="str">
        <x:v>UK</x:v>
      </x:c>
      <x:c r="E10" t="str">
        <x:v>United Kingdom</x:v>
      </x:c>
    </x:row>
    <x:row r="11">
      <x:c r="A11" s="13" t="str">
        <x:v>Normalization</x:v>
      </x:c>
      <x:c r="B11" s="13" t="str">
        <x:v>Each row sums to 1.</x:v>
      </x:c>
      <x:c r="C11"/>
      <x:c r="D11" t="str">
        <x:v>JP</x:v>
      </x:c>
      <x:c r="E11" t="str">
        <x:v>Japan</x:v>
      </x:c>
    </x:row>
    <x:row r="12">
      <x:c r="A12" s="13" t="str">
        <x:v>Data completeness</x:v>
      </x:c>
      <x:c r="B12" s="13" t="str">
        <x:v>No missing values in 2000–2012 in either source CSV.</x:v>
      </x:c>
      <x:c r="C12"/>
      <x:c r="D12" t="str">
        <x:v>KR</x:v>
      </x:c>
      <x:c r="E12" t="str">
        <x:v>Korea</x:v>
      </x:c>
    </x:row>
    <x:row r="13">
      <x:c r="A13" s="13" t="str">
        <x:v>Excluded years</x:v>
      </x:c>
      <x:c r="B13" s="13" t="str">
        <x:v>2013–2014 are not used.</x:v>
      </x:c>
      <x:c r="C13"/>
      <x:c r="D13" t="str">
        <x:v>NO</x:v>
      </x:c>
      <x:c r="E13" t="str">
        <x:v>Norway</x:v>
      </x:c>
    </x:row>
    <x:row r="14">
      <x:c r="A14" s="13" t="str">
        <x:v>Units</x:v>
      </x:c>
      <x:c r="B14" s="13" t="str">
        <x:v>Trade matrices: USD millions; weights: unit-free.</x:v>
      </x:c>
      <x:c r="C14"/>
      <x:c r="D14" t="str">
        <x:v>SG</x:v>
      </x:c>
      <x:c r="E14" t="str">
        <x:v>Singapore</x:v>
      </x:c>
    </x:row>
    <x:row r="15">
      <x:c r="A15"/>
      <x:c r="B15"/>
      <x:c r="C15"/>
      <x:c r="D15" t="str">
        <x:v>TR</x:v>
      </x:c>
      <x:c r="E15" t="str">
        <x:v>Türkiye</x:v>
      </x:c>
    </x:row>
    <x:row r="16">
      <x:c r="A16"/>
      <x:c r="B16"/>
      <x:c r="C16"/>
      <x:c r="D16" t="str">
        <x:v>US</x:v>
      </x:c>
      <x:c r="E16" t="str">
        <x:v>United States</x:v>
      </x:c>
    </x:row>
    <x:row r="17">
      <x:c r="A17"/>
      <x:c r="B17"/>
      <x:c r="C17"/>
      <x:c r="D17" t="str">
        <x:v>ZA</x:v>
      </x:c>
      <x:c r="E17" t="str">
        <x:v>South Africa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17" t="str">
        <x:v>Origin / Partner</x:v>
      </x:c>
      <x:c r="B1" s="17" t="str">
        <x:v>AU</x:v>
      </x:c>
      <x:c r="C1" s="17" t="str">
        <x:v>BR</x:v>
      </x:c>
      <x:c r="D1" s="17" t="str">
        <x:v>CA</x:v>
      </x:c>
      <x:c r="E1" s="17" t="str">
        <x:v>CH</x:v>
      </x:c>
      <x:c r="F1" s="17" t="str">
        <x:v>CN</x:v>
      </x:c>
      <x:c r="G1" s="17" t="str">
        <x:v>EA</x:v>
      </x:c>
      <x:c r="H1" s="17" t="str">
        <x:v>UK</x:v>
      </x:c>
      <x:c r="I1" s="17" t="str">
        <x:v>JP</x:v>
      </x:c>
      <x:c r="J1" s="17" t="str">
        <x:v>KR</x:v>
      </x:c>
      <x:c r="K1" s="17" t="str">
        <x:v>NO</x:v>
      </x:c>
      <x:c r="L1" s="17" t="str">
        <x:v>SG</x:v>
      </x:c>
      <x:c r="M1" s="17" t="str">
        <x:v>TR</x:v>
      </x:c>
      <x:c r="N1" s="17" t="str">
        <x:v>US</x:v>
      </x:c>
      <x:c r="O1" s="17" t="str">
        <x:v>ZA</x:v>
      </x:c>
      <x:c r="P1" s="17" t="str">
        <x:v>Row Total</x:v>
      </x:c>
    </x:row>
    <x:row r="2">
      <x:c r="A2" s="20" t="str">
        <x:v>AU</x:v>
      </x:c>
      <x:c r="B2" s="22" t="n">
        <x:v>0</x:v>
      </x:c>
      <x:c r="C2" s="22" t="n">
        <x:v>7782.592936</x:v>
      </x:c>
      <x:c r="D2" s="22" t="n">
        <x:v>20951.809519</x:v>
      </x:c>
      <x:c r="E2" s="22" t="n">
        <x:v>21173.065341</x:v>
      </x:c>
      <x:c r="F2" s="22" t="n">
        <x:v>300804.037927</x:v>
      </x:c>
      <x:c r="G2" s="22" t="n">
        <x:v>282066.604665</x:v>
      </x:c>
      <x:c r="H2" s="22" t="n">
        <x:v>70778.094091</x:v>
      </x:c>
      <x:c r="I2" s="22" t="n">
        <x:v>185404.039316</x:v>
      </x:c>
      <x:c r="J2" s="22" t="n">
        <x:v>67128.430439</x:v>
      </x:c>
      <x:c r="K2" s="22" t="n">
        <x:v>3344.615205</x:v>
      </x:c>
      <x:c r="L2" s="22" t="n">
        <x:v>105074.261568</x:v>
      </x:c>
      <x:c r="M2" s="22" t="n">
        <x:v>4030.667701</x:v>
      </x:c>
      <x:c r="N2" s="22" t="n">
        <x:v>254995.590733</x:v>
      </x:c>
      <x:c r="O2" s="22" t="n">
        <x:v>12182.26682</x:v>
      </x:c>
      <x:c r="P2" s="22" t="n">
        <x:f>SUM(B2:O2)</x:f>
        <x:v>1335716.0762610002</x:v>
      </x:c>
    </x:row>
    <x:row r="3">
      <x:c r="A3" s="20" t="str">
        <x:v>BR</x:v>
      </x:c>
      <x:c r="B3" s="22" t="n">
        <x:v>10847.460014</x:v>
      </x:c>
      <x:c r="C3" s="22" t="n">
        <x:v>0</x:v>
      </x:c>
      <x:c r="D3" s="22" t="n">
        <x:v>23785.659521999998</x:v>
      </x:c>
      <x:c r="E3" s="22" t="n">
        <x:v>23922.899988</x:v>
      </x:c>
      <x:c r="F3" s="22" t="n">
        <x:v>174335.20738</x:v>
      </x:c>
      <x:c r="G3" s="22" t="n">
        <x:v>296346.48176500003</x:v>
      </x:c>
      <x:c r="H3" s="22" t="n">
        <x:v>27657.581776</x:v>
      </x:c>
      <x:c r="I3" s="22" t="n">
        <x:v>64068.481966</x:v>
      </x:c>
      <x:c r="J3" s="22" t="n">
        <x:v>56680.433017</x:v>
      </x:c>
      <x:c r="K3" s="22" t="n">
        <x:v>6265.470604</x:v>
      </x:c>
      <x:c r="L3" s="22" t="n">
        <x:v>10514.501402</x:v>
      </x:c>
      <x:c r="M3" s="22" t="n">
        <x:v>4314.068358</x:v>
      </x:c>
      <x:c r="N3" s="22" t="n">
        <x:v>259238.212051</x:v>
      </x:c>
      <x:c r="O3" s="22" t="n">
        <x:v>6557.787702</x:v>
      </x:c>
      <x:c r="P3" s="22" t="n">
        <x:f>SUM(B3:O3)</x:f>
        <x:v>964534.2455450001</x:v>
      </x:c>
    </x:row>
    <x:row r="4">
      <x:c r="A4" s="20" t="str">
        <x:v>CA</x:v>
      </x:c>
      <x:c r="B4" s="22" t="n">
        <x:v>19724.437279</x:v>
      </x:c>
      <x:c r="C4" s="22" t="n">
        <x:v>32984.994339</x:v>
      </x:c>
      <x:c r="D4" s="22" t="n">
        <x:v>0</x:v>
      </x:c>
      <x:c r="E4" s="22" t="n">
        <x:v>27806.27373</x:v>
      </x:c>
      <x:c r="F4" s="22" t="n">
        <x:v>388101.181975</x:v>
      </x:c>
      <x:c r="G4" s="22" t="n">
        <x:v>356996.5355</x:v>
      </x:c>
      <x:c r="H4" s="22" t="n">
        <x:v>121611.15019500001</x:v>
      </x:c>
      <x:c r="I4" s="22" t="n">
        <x:v>166729.56334</x:v>
      </x:c>
      <x:c r="J4" s="22" t="n">
        <x:v>65981.469992</x:v>
      </x:c>
      <x:c r="K4" s="22" t="n">
        <x:v>51380.202111</x:v>
      </x:c>
      <x:c r="L4" s="22" t="n">
        <x:v>13938.429732</x:v>
      </x:c>
      <x:c r="M4" s="22" t="n">
        <x:v>8021.284749</x:v>
      </x:c>
      <x:c r="N4" s="22" t="n">
        <x:v>2489001.347221</x:v>
      </x:c>
      <x:c r="O4" s="22" t="n">
        <x:v>8263.553846</x:v>
      </x:c>
      <x:c r="P4" s="22" t="n">
        <x:f>SUM(B4:O4)</x:f>
        <x:v>3750540.4240090004</x:v>
      </x:c>
    </x:row>
    <x:row r="5">
      <x:c r="A5" s="20" t="str">
        <x:v>CH</x:v>
      </x:c>
      <x:c r="B5" s="22" t="n">
        <x:v>3162.919167</x:v>
      </x:c>
      <x:c r="C5" s="22" t="n">
        <x:v>9618.004344</x:v>
      </x:c>
      <x:c r="D5" s="22" t="n">
        <x:v>9026.828769</x:v>
      </x:c>
      <x:c r="E5" s="22" t="n">
        <x:v>0</x:v>
      </x:c>
      <x:c r="F5" s="22" t="n">
        <x:v>51436.440249</x:v>
      </x:c>
      <x:c r="G5" s="22" t="n">
        <x:v>1309225.629402</x:v>
      </x:c>
      <x:c r="H5" s="22" t="n">
        <x:v>82015.891148</x:v>
      </x:c>
      <x:c r="I5" s="22" t="n">
        <x:v>38868.431182</x:v>
      </x:c>
      <x:c r="J5" s="22" t="n">
        <x:v>6649.368983</x:v>
      </x:c>
      <x:c r="K5" s="22" t="n">
        <x:v>3579.445409</x:v>
      </x:c>
      <x:c r="L5" s="22" t="n">
        <x:v>6948.319267</x:v>
      </x:c>
      <x:c r="M5" s="22" t="n">
        <x:v>8732.110356000001</x:v>
      </x:c>
      <x:c r="N5" s="22" t="n">
        <x:v>120404.071093</x:v>
      </x:c>
      <x:c r="O5" s="22" t="n">
        <x:v>11756.944832000001</x:v>
      </x:c>
      <x:c r="P5" s="22" t="n">
        <x:f>SUM(B5:O5)</x:f>
        <x:v>1661424.404201</x:v>
      </x:c>
    </x:row>
    <x:row r="6">
      <x:c r="A6" s="20" t="str">
        <x:v>CN</x:v>
      </x:c>
      <x:c r="B6" s="22" t="n">
        <x:v>391058.72674199997</x:v>
      </x:c>
      <x:c r="C6" s="22" t="n">
        <x:v>263394.61735</x:v>
      </x:c>
      <x:c r="D6" s="22" t="n">
        <x:v>133119.80395600002</x:v>
      </x:c>
      <x:c r="E6" s="22" t="n">
        <x:v>98551.326596</x:v>
      </x:c>
      <x:c r="F6" s="22" t="n">
        <x:v>0</x:v>
      </x:c>
      <x:c r="G6" s="22" t="n">
        <x:v>1142873.5842209999</x:v>
      </x:c>
      <x:c r="H6" s="22" t="n">
        <x:v>98672.708982</x:v>
      </x:c>
      <x:c r="I6" s="22" t="n">
        <x:v>1486573.158453</x:v>
      </x:c>
      <x:c r="J6" s="22" t="n">
        <x:v>1132210.706049</x:v>
      </x:c>
      <x:c r="K6" s="22" t="n">
        <x:v>23411.199569</x:v>
      </x:c>
      <x:c r="L6" s="22" t="n">
        <x:v>212071.470194</x:v>
      </x:c>
      <x:c r="M6" s="22" t="n">
        <x:v>17973.045076</x:v>
      </x:c>
      <x:c r="N6" s="22" t="n">
        <x:v>842127.2588589999</x:v>
      </x:c>
      <x:c r="O6" s="22" t="n">
        <x:v>128410.554211</x:v>
      </x:c>
      <x:c r="P6" s="22" t="n">
        <x:f>SUM(B6:O6)</x:f>
        <x:v>5970448.160258</x:v>
      </x:c>
    </x:row>
    <x:row r="7">
      <x:c r="A7" s="20" t="str">
        <x:v>EA</x:v>
      </x:c>
      <x:c r="B7" s="22" t="n">
        <x:v>104796.399273</x:v>
      </x:c>
      <x:c r="C7" s="22" t="n">
        <x:v>370907.059008</x:v>
      </x:c>
      <x:c r="D7" s="22" t="n">
        <x:v>193318.509972</x:v>
      </x:c>
      <x:c r="E7" s="22" t="n">
        <x:v>1037972.6334940001</x:v>
      </x:c>
      <x:c r="F7" s="22" t="n">
        <x:v>2273625.220015</x:v>
      </x:c>
      <x:c r="G7" s="22" t="n">
        <x:v>21502923.047292</x:v>
      </x:c>
      <x:c r="H7" s="22" t="n">
        <x:v>2474210.954436</x:v>
      </x:c>
      <x:c r="I7" s="22" t="n">
        <x:v>865304.640141</x:v>
      </x:c>
      <x:c r="J7" s="22" t="n">
        <x:v>394181.300586</x:v>
      </x:c>
      <x:c r="K7" s="22" t="n">
        <x:v>641744.3591080001</x:v>
      </x:c>
      <x:c r="L7" s="22" t="n">
        <x:v>182140.594987</x:v>
      </x:c>
      <x:c r="M7" s="22" t="n">
        <x:v>430195.212431</x:v>
      </x:c>
      <x:c r="N7" s="22" t="n">
        <x:v>2042541.544308</x:v>
      </x:c>
      <x:c r="O7" s="22" t="n">
        <x:v>183670.477223</x:v>
      </x:c>
      <x:c r="P7" s="22" t="n">
        <x:f>SUM(B7:O7)</x:f>
        <x:v>32697531.952274002</x:v>
      </x:c>
    </x:row>
    <x:row r="8">
      <x:c r="A8" s="20" t="str">
        <x:v>UK</x:v>
      </x:c>
      <x:c r="B8" s="22" t="n">
        <x:v>66423.520681</x:v>
      </x:c>
      <x:c r="C8" s="22" t="n">
        <x:v>46572.845885</x:v>
      </x:c>
      <x:c r="D8" s="22" t="n">
        <x:v>135192.665274</x:v>
      </x:c>
      <x:c r="E8" s="22" t="n">
        <x:v>127036.348897</x:v>
      </x:c>
      <x:c r="F8" s="22" t="n">
        <x:v>420413.860405</x:v>
      </x:c>
      <x:c r="G8" s="22" t="n">
        <x:v>2956474.653156</x:v>
      </x:c>
      <x:c r="H8" s="22" t="n">
        <x:v>0</x:v>
      </x:c>
      <x:c r="I8" s="22" t="n">
        <x:v>186872.68475</x:v>
      </x:c>
      <x:c r="J8" s="22" t="n">
        <x:v>61783.342664</x:v>
      </x:c>
      <x:c r="K8" s="22" t="n">
        <x:v>298531.779167</x:v>
      </x:c>
      <x:c r="L8" s="22" t="n">
        <x:v>64978.178958000004</x:v>
      </x:c>
      <x:c r="M8" s="22" t="n">
        <x:v>81221.156643</x:v>
      </x:c>
      <x:c r="N8" s="22" t="n">
        <x:v>579587.357678</x:v>
      </x:c>
      <x:c r="O8" s="22" t="n">
        <x:v>102058.084478</x:v>
      </x:c>
      <x:c r="P8" s="22" t="n">
        <x:f>SUM(B8:O8)</x:f>
        <x:v>5127146.478636</x:v>
      </x:c>
    </x:row>
    <x:row r="9">
      <x:c r="A9" s="20" t="str">
        <x:v>JP</x:v>
      </x:c>
      <x:c r="B9" s="22" t="n">
        <x:v>401647.816362</x:v>
      </x:c>
      <x:c r="C9" s="22" t="n">
        <x:v>80264.565852</x:v>
      </x:c>
      <x:c r="D9" s="22" t="n">
        <x:v>126428.258449</x:v>
      </x:c>
      <x:c r="E9" s="22" t="n">
        <x:v>69457.960241</x:v>
      </x:c>
      <x:c r="F9" s="22" t="n">
        <x:v>1491246.71289</x:v>
      </x:c>
      <x:c r="G9" s="22" t="n">
        <x:v>626334.066373</x:v>
      </x:c>
      <x:c r="H9" s="22" t="n">
        <x:v>85484.444213</x:v>
      </x:c>
      <x:c r="I9" s="22" t="n">
        <x:v>0</x:v>
      </x:c>
      <x:c r="J9" s="22" t="n">
        <x:v>332702.076852</x:v>
      </x:c>
      <x:c r="K9" s="22" t="n">
        <x:v>20119.873013</x:v>
      </x:c>
      <x:c r="L9" s="22" t="n">
        <x:v>89351.995154</x:v>
      </x:c>
      <x:c r="M9" s="22" t="n">
        <x:v>4255.88083</x:v>
      </x:c>
      <x:c r="N9" s="22" t="n">
        <x:v>888242.487815</x:v>
      </x:c>
      <x:c r="O9" s="22" t="n">
        <x:v>73005.031634</x:v>
      </x:c>
      <x:c r="P9" s="22" t="n">
        <x:f>SUM(B9:O9)</x:f>
        <x:v>4288541.169678</x:v>
      </x:c>
    </x:row>
    <x:row r="10">
      <x:c r="A10" s="20" t="str">
        <x:v>KR</x:v>
      </x:c>
      <x:c r="B10" s="22" t="n">
        <x:v>167744.446429</x:v>
      </x:c>
      <x:c r="C10" s="22" t="n">
        <x:v>40386.559269</x:v>
      </x:c>
      <x:c r="D10" s="22" t="n">
        <x:v>42919.44837</x:v>
      </x:c>
      <x:c r="E10" s="22" t="n">
        <x:v>20730.086846</x:v>
      </x:c>
      <x:c r="F10" s="22" t="n">
        <x:v>615188.193808</x:v>
      </x:c>
      <x:c r="G10" s="22" t="n">
        <x:v>320037.466038</x:v>
      </x:c>
      <x:c r="H10" s="22" t="n">
        <x:v>43547.937169</x:v>
      </x:c>
      <x:c r="I10" s="22" t="n">
        <x:v>634699.7076579999</x:v>
      </x:c>
      <x:c r="J10" s="22" t="n">
        <x:v>0</x:v>
      </x:c>
      <x:c r="K10" s="22" t="n">
        <x:v>21996.361144</x:v>
      </x:c>
      <x:c r="L10" s="22" t="n">
        <x:v>79503.264016</x:v>
      </x:c>
      <x:c r="M10" s="22" t="n">
        <x:v>3881.407513</x:v>
      </x:c>
      <x:c r="N10" s="22" t="n">
        <x:v>427435.34949500003</x:v>
      </x:c>
      <x:c r="O10" s="22" t="n">
        <x:v>19096.549643</x:v>
      </x:c>
      <x:c r="P10" s="22" t="n">
        <x:f>SUM(B10:O10)</x:f>
        <x:v>2437166.777398</x:v>
      </x:c>
    </x:row>
    <x:row r="11">
      <x:c r="A11" s="20" t="str">
        <x:v>NO</x:v>
      </x:c>
      <x:c r="B11" s="22" t="n">
        <x:v>1362.391165</x:v>
      </x:c>
      <x:c r="C11" s="22" t="n">
        <x:v>9305.445186</x:v>
      </x:c>
      <x:c r="D11" s="22" t="n">
        <x:v>23743.759964</x:v>
      </x:c>
      <x:c r="E11" s="22" t="n">
        <x:v>9211.736336</x:v>
      </x:c>
      <x:c r="F11" s="22" t="n">
        <x:v>52994.377713</x:v>
      </x:c>
      <x:c r="G11" s="22" t="n">
        <x:v>284440.077178</x:v>
      </x:c>
      <x:c r="H11" s="22" t="n">
        <x:v>51841.543561</x:v>
      </x:c>
      <x:c r="I11" s="22" t="n">
        <x:v>20972.924095</x:v>
      </x:c>
      <x:c r="J11" s="22" t="n">
        <x:v>12393.510345</x:v>
      </x:c>
      <x:c r="K11" s="22" t="n">
        <x:v>0</x:v>
      </x:c>
      <x:c r="L11" s="22" t="n">
        <x:v>3220.36572</x:v>
      </x:c>
      <x:c r="M11" s="22" t="n">
        <x:v>5619.019056</x:v>
      </x:c>
      <x:c r="N11" s="22" t="n">
        <x:v>43834.198904</x:v>
      </x:c>
      <x:c r="O11" s="22" t="n">
        <x:v>2838.852788</x:v>
      </x:c>
      <x:c r="P11" s="22" t="n">
        <x:f>SUM(B11:O11)</x:f>
        <x:v>521778.202011</x:v>
      </x:c>
    </x:row>
    <x:row r="12">
      <x:c r="A12" s="20" t="str">
        <x:v>SG</x:v>
      </x:c>
      <x:c r="B12" s="22" t="n">
        <x:v>41854.232045</x:v>
      </x:c>
      <x:c r="C12" s="22" t="n">
        <x:v>11946.113288</x:v>
      </x:c>
      <x:c r="D12" s="22" t="n">
        <x:v>11043.339675</x:v>
      </x:c>
      <x:c r="E12" s="22" t="n">
        <x:v>35291.108923</x:v>
      </x:c>
      <x:c r="F12" s="22" t="n">
        <x:v>300675.214056</x:v>
      </x:c>
      <x:c r="G12" s="22" t="n">
        <x:v>290934.548004</x:v>
      </x:c>
      <x:c r="H12" s="22" t="n">
        <x:v>54203.132716</x:v>
      </x:c>
      <x:c r="I12" s="22" t="n">
        <x:v>268090.445352</x:v>
      </x:c>
      <x:c r="J12" s="22" t="n">
        <x:v>154267.728461</x:v>
      </x:c>
      <x:c r="K12" s="22" t="n">
        <x:v>9594.615163</x:v>
      </x:c>
      <x:c r="L12" s="22" t="n">
        <x:v>0</x:v>
      </x:c>
      <x:c r="M12" s="22" t="n">
        <x:v>4900.024084</x:v>
      </x:c>
      <x:c r="N12" s="22" t="n">
        <x:v>362539.141517</x:v>
      </x:c>
      <x:c r="O12" s="22" t="n">
        <x:v>5071.635383</x:v>
      </x:c>
      <x:c r="P12" s="22" t="n">
        <x:f>SUM(B12:O12)</x:f>
        <x:v>1550411.278667</x:v>
      </x:c>
    </x:row>
    <x:row r="13">
      <x:c r="A13" s="20" t="str">
        <x:v>TR</x:v>
      </x:c>
      <x:c r="B13" s="22" t="n">
        <x:v>6027.774012</x:v>
      </x:c>
      <x:c r="C13" s="22" t="n">
        <x:v>12343.753138</x:v>
      </x:c>
      <x:c r="D13" s="22" t="n">
        <x:v>8851.772282</x:v>
      </x:c>
      <x:c r="E13" s="22" t="n">
        <x:v>44047.221627</x:v>
      </x:c>
      <x:c r="F13" s="22" t="n">
        <x:v>128965.99833</x:v>
      </x:c>
      <x:c r="G13" s="22" t="n">
        <x:v>551063.6237540001</x:v>
      </x:c>
      <x:c r="H13" s="22" t="n">
        <x:v>55160.428963</x:v>
      </x:c>
      <x:c r="I13" s="22" t="n">
        <x:v>37000.927023</x:v>
      </x:c>
      <x:c r="J13" s="22" t="n">
        <x:v>42057.18975</x:v>
      </x:c>
      <x:c r="K13" s="22" t="n">
        <x:v>7075.725928</x:v>
      </x:c>
      <x:c r="L13" s="22" t="n">
        <x:v>2688.356463</x:v>
      </x:c>
      <x:c r="M13" s="22" t="n">
        <x:v>0</x:v>
      </x:c>
      <x:c r="N13" s="22" t="n">
        <x:v>101311.967873</x:v>
      </x:c>
      <x:c r="O13" s="22" t="n">
        <x:v>14032.296156</x:v>
      </x:c>
      <x:c r="P13" s="22" t="n">
        <x:f>SUM(B13:O13)</x:f>
        <x:v>1010627.0352989999</x:v>
      </x:c>
    </x:row>
    <x:row r="14">
      <x:c r="A14" s="20" t="str">
        <x:v>US</x:v>
      </x:c>
      <x:c r="B14" s="22" t="n">
        <x:v>108130.802264</x:v>
      </x:c>
      <x:c r="C14" s="22" t="n">
        <x:v>311436.400684</x:v>
      </x:c>
      <x:c r="D14" s="22" t="n">
        <x:v>3556174.765874</x:v>
      </x:c>
      <x:c r="E14" s="22" t="n">
        <x:v>202073.021373</x:v>
      </x:c>
      <x:c r="F14" s="22" t="n">
        <x:v>3502470.715268</x:v>
      </x:c>
      <x:c r="G14" s="22" t="n">
        <x:v>3050316.26219</x:v>
      </x:c>
      <x:c r="H14" s="22" t="n">
        <x:v>649437.51224</x:v>
      </x:c>
      <x:c r="I14" s="22" t="n">
        <x:v>1742719.7824879999</x:v>
      </x:c>
      <x:c r="J14" s="22" t="n">
        <x:v>599470.285952</x:v>
      </x:c>
      <x:c r="K14" s="22" t="n">
        <x:v>87288.80941</x:v>
      </x:c>
      <x:c r="L14" s="22" t="n">
        <x:v>222330.663551</x:v>
      </x:c>
      <x:c r="M14" s="22" t="n">
        <x:v>60639.77848</x:v>
      </x:c>
      <x:c r="N14" s="22" t="n">
        <x:v>0</x:v>
      </x:c>
      <x:c r="O14" s="22" t="n">
        <x:v>89997.65236400001</x:v>
      </x:c>
      <x:c r="P14" s="22" t="n">
        <x:f>SUM(B14:O14)</x:f>
        <x:v>14182486.452138001</x:v>
      </x:c>
    </x:row>
    <x:row r="15">
      <x:c r="A15" s="20" t="str">
        <x:v>ZA</x:v>
      </x:c>
      <x:c r="B15" s="22" t="n">
        <x:v>15966.356391</x:v>
      </x:c>
      <x:c r="C15" s="22" t="n">
        <x:v>16017.653845</x:v>
      </x:c>
      <x:c r="D15" s="22" t="n">
        <x:v>10100.273355</x:v>
      </x:c>
      <x:c r="E15" s="22" t="n">
        <x:v>9918.49602</x:v>
      </x:c>
      <x:c r="F15" s="22" t="n">
        <x:v>96700.624694</x:v>
      </x:c>
      <x:c r="G15" s="22" t="n">
        <x:v>223504.655219</x:v>
      </x:c>
      <x:c r="H15" s="22" t="n">
        <x:v>42543.839407</x:v>
      </x:c>
      <x:c r="I15" s="22" t="n">
        <x:v>49212.662066</x:v>
      </x:c>
      <x:c r="J15" s="22" t="n">
        <x:v>17806.61886</x:v>
      </x:c>
      <x:c r="K15" s="22" t="n">
        <x:v>1205.321337</x:v>
      </x:c>
      <x:c r="L15" s="22" t="n">
        <x:v>8596.296545</x:v>
      </x:c>
      <x:c r="M15" s="22" t="n">
        <x:v>4650.148361</x:v>
      </x:c>
      <x:c r="N15" s="22" t="n">
        <x:v>69638.820083</x:v>
      </x:c>
      <x:c r="O15" s="22" t="n">
        <x:v>0</x:v>
      </x:c>
      <x:c r="P15" s="22" t="n">
        <x:f>SUM(B15:O15)</x:f>
        <x:v>565861.766183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17" t="str">
        <x:v>Origin / Partner</x:v>
      </x:c>
      <x:c r="B1" s="17" t="str">
        <x:v>AU</x:v>
      </x:c>
      <x:c r="C1" s="17" t="str">
        <x:v>BR</x:v>
      </x:c>
      <x:c r="D1" s="17" t="str">
        <x:v>CA</x:v>
      </x:c>
      <x:c r="E1" s="17" t="str">
        <x:v>CH</x:v>
      </x:c>
      <x:c r="F1" s="17" t="str">
        <x:v>CN</x:v>
      </x:c>
      <x:c r="G1" s="17" t="str">
        <x:v>EA</x:v>
      </x:c>
      <x:c r="H1" s="17" t="str">
        <x:v>UK</x:v>
      </x:c>
      <x:c r="I1" s="17" t="str">
        <x:v>JP</x:v>
      </x:c>
      <x:c r="J1" s="17" t="str">
        <x:v>KR</x:v>
      </x:c>
      <x:c r="K1" s="17" t="str">
        <x:v>NO</x:v>
      </x:c>
      <x:c r="L1" s="17" t="str">
        <x:v>SG</x:v>
      </x:c>
      <x:c r="M1" s="17" t="str">
        <x:v>TR</x:v>
      </x:c>
      <x:c r="N1" s="17" t="str">
        <x:v>US</x:v>
      </x:c>
      <x:c r="O1" s="17" t="str">
        <x:v>ZA</x:v>
      </x:c>
      <x:c r="P1" s="17" t="str">
        <x:v>Row Total</x:v>
      </x:c>
    </x:row>
    <x:row r="2">
      <x:c r="A2" s="20" t="str">
        <x:v>AU</x:v>
      </x:c>
      <x:c r="B2" s="22" t="n">
        <x:v>0</x:v>
      </x:c>
      <x:c r="C2" s="22" t="n">
        <x:v>9551.41563</x:v>
      </x:c>
      <x:c r="D2" s="22" t="n">
        <x:v>16186.768544</x:v>
      </x:c>
      <x:c r="E2" s="22" t="n">
        <x:v>5026.449375</x:v>
      </x:c>
      <x:c r="F2" s="22" t="n">
        <x:v>336865.06284800003</x:v>
      </x:c>
      <x:c r="G2" s="22" t="n">
        <x:v>97372.23852</x:v>
      </x:c>
      <x:c r="H2" s="22" t="n">
        <x:v>69033.313001</x:v>
      </x:c>
      <x:c r="I2" s="22" t="n">
        <x:v>350290.137382</x:v>
      </x:c>
      <x:c r="J2" s="22" t="n">
        <x:v>146723.81122499998</x:v>
      </x:c>
      <x:c r="K2" s="22" t="n">
        <x:v>1305.454935</x:v>
      </x:c>
      <x:c r="L2" s="22" t="n">
        <x:v>51351.113231999996</x:v>
      </x:c>
      <x:c r="M2" s="22" t="n">
        <x:v>4654.443406</x:v>
      </x:c>
      <x:c r="N2" s="22" t="n">
        <x:v>101085.569172</x:v>
      </x:c>
      <x:c r="O2" s="22" t="n">
        <x:v>17611.398707</x:v>
      </x:c>
      <x:c r="P2" s="22" t="n">
        <x:f>SUM(B2:O2)</x:f>
        <x:v>1207057.1759770003</x:v>
      </x:c>
    </x:row>
    <x:row r="3">
      <x:c r="A3" s="20" t="str">
        <x:v>BR</x:v>
      </x:c>
      <x:c r="B3" s="22" t="n">
        <x:v>6726.933351</x:v>
      </x:c>
      <x:c r="C3" s="22" t="n">
        <x:v>0</x:v>
      </x:c>
      <x:c r="D3" s="22" t="n">
        <x:v>22783.142292</x:v>
      </x:c>
      <x:c r="E3" s="22" t="n">
        <x:v>13328.504423999999</x:v>
      </x:c>
      <x:c r="F3" s="22" t="n">
        <x:v>192991.203603</x:v>
      </x:c>
      <x:c r="G3" s="22" t="n">
        <x:v>356623.716249</x:v>
      </x:c>
      <x:c r="H3" s="22" t="n">
        <x:v>39465.674821</x:v>
      </x:c>
      <x:c r="I3" s="22" t="n">
        <x:v>58307.972882</x:v>
      </x:c>
      <x:c r="J3" s="22" t="n">
        <x:v>29408.800638</x:v>
      </x:c>
      <x:c r="K3" s="22" t="n">
        <x:v>6930.162832</x:v>
      </x:c>
      <x:c r="L3" s="22" t="n">
        <x:v>15433.713881</x:v>
      </x:c>
      <x:c r="M3" s="22" t="n">
        <x:v>8449.032008</x:v>
      </x:c>
      <x:c r="N3" s="22" t="n">
        <x:v>269105.300467</x:v>
      </x:c>
      <x:c r="O3" s="22" t="n">
        <x:v>15335.569077</x:v>
      </x:c>
      <x:c r="P3" s="22" t="n">
        <x:f>SUM(B3:O3)</x:f>
        <x:v>1034889.7265249998</x:v>
      </x:c>
    </x:row>
    <x:row r="4">
      <x:c r="A4" s="20" t="str">
        <x:v>CA</x:v>
      </x:c>
      <x:c r="B4" s="22" t="n">
        <x:v>18142.104291</x:v>
      </x:c>
      <x:c r="C4" s="22" t="n">
        <x:v>18381.179892</x:v>
      </x:c>
      <x:c r="D4" s="22" t="n">
        <x:v>0</x:v>
      </x:c>
      <x:c r="E4" s="22" t="n">
        <x:v>10666.577747</x:v>
      </x:c>
      <x:c r="F4" s="22" t="n">
        <x:v>106559.227344</x:v>
      </x:c>
      <x:c r="G4" s="22" t="n">
        <x:v>176907.964323</x:v>
      </x:c>
      <x:c r="H4" s="22" t="n">
        <x:v>123012.188897</x:v>
      </x:c>
      <x:c r="I4" s="22" t="n">
        <x:v>100709.547989</x:v>
      </x:c>
      <x:c r="J4" s="22" t="n">
        <x:v>34215.851933</x:v>
      </x:c>
      <x:c r="K4" s="22" t="n">
        <x:v>21536.153915</x:v>
      </x:c>
      <x:c r="L4" s="22" t="n">
        <x:v>7881.174583</x:v>
      </x:c>
      <x:c r="M4" s="22" t="n">
        <x:v>7358.7684850000005</x:v>
      </x:c>
      <x:c r="N4" s="22" t="n">
        <x:v>3699958.412571</x:v>
      </x:c>
      <x:c r="O4" s="22" t="n">
        <x:v>5678.733722</x:v>
      </x:c>
      <x:c r="P4" s="22" t="n">
        <x:f>SUM(B4:O4)</x:f>
        <x:v>4331007.885692</x:v>
      </x:c>
    </x:row>
    <x:row r="5">
      <x:c r="A5" s="20" t="str">
        <x:v>CH</x:v>
      </x:c>
      <x:c r="B5" s="22" t="n">
        <x:v>19875.899942</x:v>
      </x:c>
      <x:c r="C5" s="22" t="n">
        <x:v>19018.559988</x:v>
      </x:c>
      <x:c r="D5" s="22" t="n">
        <x:v>25863.538552</x:v>
      </x:c>
      <x:c r="E5" s="22" t="n">
        <x:v>0</x:v>
      </x:c>
      <x:c r="F5" s="22" t="n">
        <x:v>55960.942093</x:v>
      </x:c>
      <x:c r="G5" s="22" t="n">
        <x:v>1012340.175677</x:v>
      </x:c>
      <x:c r="H5" s="22" t="n">
        <x:v>120399.466764</x:v>
      </x:c>
      <x:c r="I5" s="22" t="n">
        <x:v>68972.424355</x:v>
      </x:c>
      <x:c r="J5" s="22" t="n">
        <x:v>19142.611066</x:v>
      </x:c>
      <x:c r="K5" s="22" t="n">
        <x:v>8046.475612</x:v>
      </x:c>
      <x:c r="L5" s="22" t="n">
        <x:v>27047.744553</x:v>
      </x:c>
      <x:c r="M5" s="22" t="n">
        <x:v>23956.619024</x:v>
      </x:c>
      <x:c r="N5" s="22" t="n">
        <x:v>209071.330545</x:v>
      </x:c>
      <x:c r="O5" s="22" t="n">
        <x:v>7379.547107</x:v>
      </x:c>
      <x:c r="P5" s="22" t="n">
        <x:f>SUM(B5:O5)</x:f>
        <x:v>1617075.335278</x:v>
      </x:c>
    </x:row>
    <x:row r="6">
      <x:c r="A6" s="20" t="str">
        <x:v>CN</x:v>
      </x:c>
      <x:c r="B6" s="22" t="n">
        <x:v>211238.09693499998</x:v>
      </x:c>
      <x:c r="C6" s="22" t="n">
        <x:v>156105.169757</x:v>
      </x:c>
      <x:c r="D6" s="22" t="n">
        <x:v>186179.695582</x:v>
      </x:c>
      <x:c r="E6" s="22" t="n">
        <x:v>29322.105209</x:v>
      </x:c>
      <x:c r="F6" s="22" t="n">
        <x:v>0</x:v>
      </x:c>
      <x:c r="G6" s="22" t="n">
        <x:v>1844754.077552</x:v>
      </x:c>
      <x:c r="H6" s="22" t="n">
        <x:v>318285.295549</x:v>
      </x:c>
      <x:c r="I6" s="22" t="n">
        <x:v>1179431.651137</x:v>
      </x:c>
      <x:c r="J6" s="22" t="n">
        <x:v>589982.758769</x:v>
      </x:c>
      <x:c r="K6" s="22" t="n">
        <x:v>23325.968828</x:v>
      </x:c>
      <x:c r="L6" s="22" t="n">
        <x:v>280037.51608699997</x:v>
      </x:c>
      <x:c r="M6" s="22" t="n">
        <x:v>91875.387782</x:v>
      </x:c>
      <x:c r="N6" s="22" t="n">
        <x:v>2430195.690126</x:v>
      </x:c>
      <x:c r="O6" s="22" t="n">
        <x:v>80855.145958</x:v>
      </x:c>
      <x:c r="P6" s="22" t="n">
        <x:f>SUM(B6:O6)</x:f>
        <x:v>7421588.559271</x:v>
      </x:c>
    </x:row>
    <x:row r="7">
      <x:c r="A7" s="20" t="str">
        <x:v>EA</x:v>
      </x:c>
      <x:c r="B7" s="22" t="n">
        <x:v>265377.187138</x:v>
      </x:c>
      <x:c r="C7" s="22" t="n">
        <x:v>306203.49021</x:v>
      </x:c>
      <x:c r="D7" s="22" t="n">
        <x:v>278942.03563</x:v>
      </x:c>
      <x:c r="E7" s="22" t="n">
        <x:v>1315795.347785</x:v>
      </x:c>
      <x:c r="F7" s="22" t="n">
        <x:v>1002754.738516</x:v>
      </x:c>
      <x:c r="G7" s="22" t="n">
        <x:v>22345503.05572</x:v>
      </x:c>
      <x:c r="H7" s="22" t="n">
        <x:v>3315679.282727</x:v>
      </x:c>
      <x:c r="I7" s="22" t="n">
        <x:v>554078.638591</x:v>
      </x:c>
      <x:c r="J7" s="22" t="n">
        <x:v>302553.49051</x:v>
      </x:c>
      <x:c r="K7" s="22" t="n">
        <x:v>281202.558764</x:v>
      </x:c>
      <x:c r="L7" s="22" t="n">
        <x:v>245622.010583</x:v>
      </x:c>
      <x:c r="M7" s="22" t="n">
        <x:v>614605.428972</x:v>
      </x:c>
      <x:c r="N7" s="22" t="n">
        <x:v>2969393.139324</x:v>
      </x:c>
      <x:c r="O7" s="22" t="n">
        <x:v>223061.060645</x:v>
      </x:c>
      <x:c r="P7" s="22" t="n">
        <x:f>SUM(B7:O7)</x:f>
        <x:v>34020771.465114996</x:v>
      </x:c>
    </x:row>
    <x:row r="8">
      <x:c r="A8" s="20" t="str">
        <x:v>UK</x:v>
      </x:c>
      <x:c r="B8" s="22" t="n">
        <x:v>65447.686582</x:v>
      </x:c>
      <x:c r="C8" s="22" t="n">
        <x:v>27820.50021</x:v>
      </x:c>
      <x:c r="D8" s="22" t="n">
        <x:v>76366.508164</x:v>
      </x:c>
      <x:c r="E8" s="22" t="n">
        <x:v>140314.02118</x:v>
      </x:c>
      <x:c r="F8" s="22" t="n">
        <x:v>89361.107846</x:v>
      </x:c>
      <x:c r="G8" s="22" t="n">
        <x:v>2447867.470791</x:v>
      </x:c>
      <x:c r="H8" s="22" t="n">
        <x:v>0</x:v>
      </x:c>
      <x:c r="I8" s="22" t="n">
        <x:v>83375.278272</x:v>
      </x:c>
      <x:c r="J8" s="22" t="n">
        <x:v>42478.902421</x:v>
      </x:c>
      <x:c r="K8" s="22" t="n">
        <x:v>52172.060101</x:v>
      </x:c>
      <x:c r="L8" s="22" t="n">
        <x:v>51833.966414</x:v>
      </x:c>
      <x:c r="M8" s="22" t="n">
        <x:v>50387.206448</x:v>
      </x:c>
      <x:c r="N8" s="22" t="n">
        <x:v>676743.572421</x:v>
      </x:c>
      <x:c r="O8" s="22" t="n">
        <x:v>46520.091185</x:v>
      </x:c>
      <x:c r="P8" s="22" t="n">
        <x:f>SUM(B8:O8)</x:f>
        <x:v>3850688.3720349995</x:v>
      </x:c>
    </x:row>
    <x:row r="9">
      <x:c r="A9" s="20" t="str">
        <x:v>JP</x:v>
      </x:c>
      <x:c r="B9" s="22" t="n">
        <x:v>167334.566662</x:v>
      </x:c>
      <x:c r="C9" s="22" t="n">
        <x:v>49283.890269</x:v>
      </x:c>
      <x:c r="D9" s="22" t="n">
        <x:v>112811.120608</x:v>
      </x:c>
      <x:c r="E9" s="22" t="n">
        <x:v>49444.113993</x:v>
      </x:c>
      <x:c r="F9" s="22" t="n">
        <x:v>1204997.004253</x:v>
      </x:c>
      <x:c r="G9" s="22" t="n">
        <x:v>834159.752306</x:v>
      </x:c>
      <x:c r="H9" s="22" t="n">
        <x:v>186244.26048599998</x:v>
      </x:c>
      <x:c r="I9" s="22" t="n">
        <x:v>0</x:v>
      </x:c>
      <x:c r="J9" s="22" t="n">
        <x:v>611368.078984</x:v>
      </x:c>
      <x:c r="K9" s="22" t="n">
        <x:v>14263.58609</x:v>
      </x:c>
      <x:c r="L9" s="22" t="n">
        <x:v>265481.240609</x:v>
      </x:c>
      <x:c r="M9" s="22" t="n">
        <x:v>26148.455596</x:v>
      </x:c>
      <x:c r="N9" s="22" t="n">
        <x:v>1686290.904794</x:v>
      </x:c>
      <x:c r="O9" s="22" t="n">
        <x:v>41310.678985</x:v>
      </x:c>
      <x:c r="P9" s="22" t="n">
        <x:f>SUM(B9:O9)</x:f>
        <x:v>5249137.653634999</x:v>
      </x:c>
    </x:row>
    <x:row r="10">
      <x:c r="A10" s="20" t="str">
        <x:v>KR</x:v>
      </x:c>
      <x:c r="B10" s="22" t="n">
        <x:v>61435.044217</x:v>
      </x:c>
      <x:c r="C10" s="22" t="n">
        <x:v>57565.772782</x:v>
      </x:c>
      <x:c r="D10" s="22" t="n">
        <x:v>44798.150834</x:v>
      </x:c>
      <x:c r="E10" s="22" t="n">
        <x:v>6919.663298</x:v>
      </x:c>
      <x:c r="F10" s="22" t="n">
        <x:v>922088.01708</x:v>
      </x:c>
      <x:c r="G10" s="22" t="n">
        <x:v>409684.57631000003</x:v>
      </x:c>
      <x:c r="H10" s="22" t="n">
        <x:v>66273.861627</x:v>
      </x:c>
      <x:c r="I10" s="22" t="n">
        <x:v>324732.278628</x:v>
      </x:c>
      <x:c r="J10" s="22" t="n">
        <x:v>0</x:v>
      </x:c>
      <x:c r="K10" s="22" t="n">
        <x:v>12444.164025</x:v>
      </x:c>
      <x:c r="L10" s="22" t="n">
        <x:v>141981.647221</x:v>
      </x:c>
      <x:c r="M10" s="22" t="n">
        <x:v>36229.011136</x:v>
      </x:c>
      <x:c r="N10" s="22" t="n">
        <x:v>559725.758647</x:v>
      </x:c>
      <x:c r="O10" s="22" t="n">
        <x:v>16260.511293</x:v>
      </x:c>
      <x:c r="P10" s="22" t="n">
        <x:f>SUM(B10:O10)</x:f>
        <x:v>2660138.457098</x:v>
      </x:c>
    </x:row>
    <x:row r="11">
      <x:c r="A11" s="20" t="str">
        <x:v>NO</x:v>
      </x:c>
      <x:c r="B11" s="22" t="n">
        <x:v>2670.865872</x:v>
      </x:c>
      <x:c r="C11" s="22" t="n">
        <x:v>6133.442849</x:v>
      </x:c>
      <x:c r="D11" s="22" t="n">
        <x:v>37666.099735</x:v>
      </x:c>
      <x:c r="E11" s="22" t="n">
        <x:v>7033.763164</x:v>
      </x:c>
      <x:c r="F11" s="22" t="n">
        <x:v>19711.230185</x:v>
      </x:c>
      <x:c r="G11" s="22" t="n">
        <x:v>614766.724266</x:v>
      </x:c>
      <x:c r="H11" s="22" t="n">
        <x:v>360276.029715</x:v>
      </x:c>
      <x:c r="I11" s="22" t="n">
        <x:v>16033.66764</x:v>
      </x:c>
      <x:c r="J11" s="22" t="n">
        <x:v>17397.650761</x:v>
      </x:c>
      <x:c r="K11" s="22" t="n">
        <x:v>0</x:v>
      </x:c>
      <x:c r="L11" s="22" t="n">
        <x:v>9826.247239</x:v>
      </x:c>
      <x:c r="M11" s="22" t="n">
        <x:v>6166.039222</x:v>
      </x:c>
      <x:c r="N11" s="22" t="n">
        <x:v>86387.220876</x:v>
      </x:c>
      <x:c r="O11" s="22" t="n">
        <x:v>1222.009661</x:v>
      </x:c>
      <x:c r="P11" s="22" t="n">
        <x:f>SUM(B11:O11)</x:f>
        <x:v>1185290.991185</x:v>
      </x:c>
    </x:row>
    <x:row r="12">
      <x:c r="A12" s="20" t="str">
        <x:v>SG</x:v>
      </x:c>
      <x:c r="B12" s="22" t="n">
        <x:v>121140.346733</x:v>
      </x:c>
      <x:c r="C12" s="22" t="n">
        <x:v>11869.503226</x:v>
      </x:c>
      <x:c r="D12" s="22" t="n">
        <x:v>14058.223356</x:v>
      </x:c>
      <x:c r="E12" s="22" t="n">
        <x:v>10411.626016</x:v>
      </x:c>
      <x:c r="F12" s="22" t="n">
        <x:v>299099.867694</x:v>
      </x:c>
      <x:c r="G12" s="22" t="n">
        <x:v>271630.39691999997</x:v>
      </x:c>
      <x:c r="H12" s="22" t="n">
        <x:v>72816.722759</x:v>
      </x:c>
      <x:c r="I12" s="22" t="n">
        <x:v>174406.590851</x:v>
      </x:c>
      <x:c r="J12" s="22" t="n">
        <x:v>126976.655077</x:v>
      </x:c>
      <x:c r="K12" s="22" t="n">
        <x:v>4643.754171</x:v>
      </x:c>
      <x:c r="L12" s="22" t="n">
        <x:v>0</x:v>
      </x:c>
      <x:c r="M12" s="22" t="n">
        <x:v>3944.731055</x:v>
      </x:c>
      <x:c r="N12" s="22" t="n">
        <x:v>293769.388247</x:v>
      </x:c>
      <x:c r="O12" s="22" t="n">
        <x:v>10491.131194</x:v>
      </x:c>
      <x:c r="P12" s="22" t="n">
        <x:f>SUM(B12:O12)</x:f>
        <x:v>1415258.937299</x:v>
      </x:c>
    </x:row>
    <x:row r="13">
      <x:c r="A13" s="20" t="str">
        <x:v>TR</x:v>
      </x:c>
      <x:c r="B13" s="22" t="n">
        <x:v>3318.219217</x:v>
      </x:c>
      <x:c r="C13" s="22" t="n">
        <x:v>3962.255438</x:v>
      </x:c>
      <x:c r="D13" s="22" t="n">
        <x:v>5513.885767</x:v>
      </x:c>
      <x:c r="E13" s="22" t="n">
        <x:v>16438.993296</x:v>
      </x:c>
      <x:c r="F13" s="22" t="n">
        <x:v>14346.675181999999</x:v>
      </x:c>
      <x:c r="G13" s="22" t="n">
        <x:v>395215.166947</x:v>
      </x:c>
      <x:c r="H13" s="22" t="n">
        <x:v>75958.421512</x:v>
      </x:c>
      <x:c r="I13" s="22" t="n">
        <x:v>2957.789679</x:v>
      </x:c>
      <x:c r="J13" s="22" t="n">
        <x:v>2659.751105</x:v>
      </x:c>
      <x:c r="K13" s="22" t="n">
        <x:v>3474.436501</x:v>
      </x:c>
      <x:c r="L13" s="22" t="n">
        <x:v>4349.950788</x:v>
      </x:c>
      <x:c r="M13" s="22" t="n">
        <x:v>0</x:v>
      </x:c>
      <x:c r="N13" s="22" t="n">
        <x:v>54400.043054</x:v>
      </x:c>
      <x:c r="O13" s="22" t="n">
        <x:v>5483.107371</x:v>
      </x:c>
      <x:c r="P13" s="22" t="n">
        <x:f>SUM(B13:O13)</x:f>
        <x:v>588078.695857</x:v>
      </x:c>
    </x:row>
    <x:row r="14">
      <x:c r="A14" s="20" t="str">
        <x:v>US</x:v>
      </x:c>
      <x:c r="B14" s="22" t="n">
        <x:v>239152.326178</x:v>
      </x:c>
      <x:c r="C14" s="22" t="n">
        <x:v>309035.417221</x:v>
      </x:c>
      <x:c r="D14" s="22" t="n">
        <x:v>2834225.564909</x:v>
      </x:c>
      <x:c r="E14" s="22" t="n">
        <x:v>198451.215684</x:v>
      </x:c>
      <x:c r="F14" s="22" t="n">
        <x:v>730239.339307</x:v>
      </x:c>
      <x:c r="G14" s="22" t="n">
        <x:v>2008008.349583</x:v>
      </x:c>
      <x:c r="H14" s="22" t="n">
        <x:v>578463.892706</x:v>
      </x:c>
      <x:c r="I14" s="22" t="n">
        <x:v>771883.623569</x:v>
      </x:c>
      <x:c r="J14" s="22" t="n">
        <x:v>405425.801247</x:v>
      </x:c>
      <x:c r="K14" s="22" t="n">
        <x:v>31680.39411</x:v>
      </x:c>
      <x:c r="L14" s="22" t="n">
        <x:v>301244.377561</x:v>
      </x:c>
      <x:c r="M14" s="22" t="n">
        <x:v>88090.541581</x:v>
      </x:c>
      <x:c r="N14" s="22" t="n">
        <x:v>0</x:v>
      </x:c>
      <x:c r="O14" s="22" t="n">
        <x:v>59847.8559</x:v>
      </x:c>
      <x:c r="P14" s="22" t="n">
        <x:f>SUM(B14:O14)</x:f>
        <x:v>8555748.699556</x:v>
      </x:c>
    </x:row>
    <x:row r="15">
      <x:c r="A15" s="20" t="str">
        <x:v>ZA</x:v>
      </x:c>
      <x:c r="B15" s="22" t="n">
        <x:v>12026.138136</x:v>
      </x:c>
      <x:c r="C15" s="22" t="n">
        <x:v>5568.793411</x:v>
      </x:c>
      <x:c r="D15" s="22" t="n">
        <x:v>5188.909337</x:v>
      </x:c>
      <x:c r="E15" s="22" t="n">
        <x:v>18594.091842</x:v>
      </x:c>
      <x:c r="F15" s="22" t="n">
        <x:v>51675.414214</x:v>
      </x:c>
      <x:c r="G15" s="22" t="n">
        <x:v>147460.833739</x:v>
      </x:c>
      <x:c r="H15" s="22" t="n">
        <x:v>48363.363122</x:v>
      </x:c>
      <x:c r="I15" s="22" t="n">
        <x:v>61597.125914</x:v>
      </x:c>
      <x:c r="J15" s="22" t="n">
        <x:v>13618.927157</x:v>
      </x:c>
      <x:c r="K15" s="22" t="n">
        <x:v>1713.189718</x:v>
      </x:c>
      <x:c r="L15" s="22" t="n">
        <x:v>4930.553815</x:v>
      </x:c>
      <x:c r="M15" s="22" t="n">
        <x:v>3942.6445590000003</x:v>
      </x:c>
      <x:c r="N15" s="22" t="n">
        <x:v>70563.070406</x:v>
      </x:c>
      <x:c r="O15" s="22" t="n">
        <x:v>0</x:v>
      </x:c>
      <x:c r="P15" s="22" t="n">
        <x:f>SUM(B15:O15)</x:f>
        <x:v>445243.05536999996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17" t="str">
        <x:v>Origin / Partner</x:v>
      </x:c>
      <x:c r="B1" s="17" t="str">
        <x:v>AU</x:v>
      </x:c>
      <x:c r="C1" s="17" t="str">
        <x:v>BR</x:v>
      </x:c>
      <x:c r="D1" s="17" t="str">
        <x:v>CA</x:v>
      </x:c>
      <x:c r="E1" s="17" t="str">
        <x:v>CH</x:v>
      </x:c>
      <x:c r="F1" s="17" t="str">
        <x:v>CN</x:v>
      </x:c>
      <x:c r="G1" s="17" t="str">
        <x:v>EA</x:v>
      </x:c>
      <x:c r="H1" s="17" t="str">
        <x:v>UK</x:v>
      </x:c>
      <x:c r="I1" s="17" t="str">
        <x:v>JP</x:v>
      </x:c>
      <x:c r="J1" s="17" t="str">
        <x:v>KR</x:v>
      </x:c>
      <x:c r="K1" s="17" t="str">
        <x:v>NO</x:v>
      </x:c>
      <x:c r="L1" s="17" t="str">
        <x:v>SG</x:v>
      </x:c>
      <x:c r="M1" s="17" t="str">
        <x:v>TR</x:v>
      </x:c>
      <x:c r="N1" s="17" t="str">
        <x:v>US</x:v>
      </x:c>
      <x:c r="O1" s="17" t="str">
        <x:v>ZA</x:v>
      </x:c>
      <x:c r="P1" s="17" t="str">
        <x:v>Row Total</x:v>
      </x:c>
    </x:row>
    <x:row r="2">
      <x:c r="A2" s="20" t="str">
        <x:v>AU</x:v>
      </x:c>
      <x:c r="B2" s="26" t="n">
        <x:f>0</x:f>
        <x:v>0</x:v>
      </x:c>
      <x:c r="C2" s="22" t="n">
        <x:f>Imports_Sum!C2+Exports_Sum!C2</x:f>
        <x:v>17334.008566</x:v>
      </x:c>
      <x:c r="D2" s="22" t="n">
        <x:f>Imports_Sum!D2+Exports_Sum!D2</x:f>
        <x:v>37138.578063</x:v>
      </x:c>
      <x:c r="E2" s="22" t="n">
        <x:f>Imports_Sum!E2+Exports_Sum!E2</x:f>
        <x:v>26199.514716</x:v>
      </x:c>
      <x:c r="F2" s="22" t="n">
        <x:f>Imports_Sum!F2+Exports_Sum!F2</x:f>
        <x:v>637669.100775</x:v>
      </x:c>
      <x:c r="G2" s="22" t="n">
        <x:f>Imports_Sum!G2+Exports_Sum!G2</x:f>
        <x:v>379438.843185</x:v>
      </x:c>
      <x:c r="H2" s="22" t="n">
        <x:f>Imports_Sum!H2+Exports_Sum!H2</x:f>
        <x:v>139811.407092</x:v>
      </x:c>
      <x:c r="I2" s="22" t="n">
        <x:f>Imports_Sum!I2+Exports_Sum!I2</x:f>
        <x:v>535694.1766979999</x:v>
      </x:c>
      <x:c r="J2" s="22" t="n">
        <x:f>Imports_Sum!J2+Exports_Sum!J2</x:f>
        <x:v>213852.24166399997</x:v>
      </x:c>
      <x:c r="K2" s="22" t="n">
        <x:f>Imports_Sum!K2+Exports_Sum!K2</x:f>
        <x:v>4650.07014</x:v>
      </x:c>
      <x:c r="L2" s="22" t="n">
        <x:f>Imports_Sum!L2+Exports_Sum!L2</x:f>
        <x:v>156425.3748</x:v>
      </x:c>
      <x:c r="M2" s="22" t="n">
        <x:f>Imports_Sum!M2+Exports_Sum!M2</x:f>
        <x:v>8685.111107</x:v>
      </x:c>
      <x:c r="N2" s="22" t="n">
        <x:f>Imports_Sum!N2+Exports_Sum!N2</x:f>
        <x:v>356081.159905</x:v>
      </x:c>
      <x:c r="O2" s="22" t="n">
        <x:f>Imports_Sum!O2+Exports_Sum!O2</x:f>
        <x:v>29793.665527</x:v>
      </x:c>
      <x:c r="P2" s="22" t="n">
        <x:f>SUM(B2:O2)</x:f>
        <x:v>2542773.2522380003</x:v>
      </x:c>
    </x:row>
    <x:row r="3">
      <x:c r="A3" s="20" t="str">
        <x:v>BR</x:v>
      </x:c>
      <x:c r="B3" s="22" t="n">
        <x:f>Imports_Sum!B3+Exports_Sum!B3</x:f>
        <x:v>17574.393365</x:v>
      </x:c>
      <x:c r="C3" s="26" t="n">
        <x:f>0</x:f>
        <x:v>0</x:v>
      </x:c>
      <x:c r="D3" s="22" t="n">
        <x:f>Imports_Sum!D3+Exports_Sum!D3</x:f>
        <x:v>46568.801814</x:v>
      </x:c>
      <x:c r="E3" s="22" t="n">
        <x:f>Imports_Sum!E3+Exports_Sum!E3</x:f>
        <x:v>37251.404412</x:v>
      </x:c>
      <x:c r="F3" s="22" t="n">
        <x:f>Imports_Sum!F3+Exports_Sum!F3</x:f>
        <x:v>367326.410983</x:v>
      </x:c>
      <x:c r="G3" s="22" t="n">
        <x:f>Imports_Sum!G3+Exports_Sum!G3</x:f>
        <x:v>652970.198014</x:v>
      </x:c>
      <x:c r="H3" s="22" t="n">
        <x:f>Imports_Sum!H3+Exports_Sum!H3</x:f>
        <x:v>67123.256597</x:v>
      </x:c>
      <x:c r="I3" s="22" t="n">
        <x:f>Imports_Sum!I3+Exports_Sum!I3</x:f>
        <x:v>122376.454848</x:v>
      </x:c>
      <x:c r="J3" s="22" t="n">
        <x:f>Imports_Sum!J3+Exports_Sum!J3</x:f>
        <x:v>86089.233655</x:v>
      </x:c>
      <x:c r="K3" s="22" t="n">
        <x:f>Imports_Sum!K3+Exports_Sum!K3</x:f>
        <x:v>13195.633436</x:v>
      </x:c>
      <x:c r="L3" s="22" t="n">
        <x:f>Imports_Sum!L3+Exports_Sum!L3</x:f>
        <x:v>25948.215282999998</x:v>
      </x:c>
      <x:c r="M3" s="22" t="n">
        <x:f>Imports_Sum!M3+Exports_Sum!M3</x:f>
        <x:v>12763.100366</x:v>
      </x:c>
      <x:c r="N3" s="22" t="n">
        <x:f>Imports_Sum!N3+Exports_Sum!N3</x:f>
        <x:v>528343.512518</x:v>
      </x:c>
      <x:c r="O3" s="22" t="n">
        <x:f>Imports_Sum!O3+Exports_Sum!O3</x:f>
        <x:v>21893.356779</x:v>
      </x:c>
      <x:c r="P3" s="22" t="n">
        <x:f>SUM(B3:O3)</x:f>
        <x:v>1999423.97207</x:v>
      </x:c>
    </x:row>
    <x:row r="4">
      <x:c r="A4" s="20" t="str">
        <x:v>CA</x:v>
      </x:c>
      <x:c r="B4" s="22" t="n">
        <x:f>Imports_Sum!B4+Exports_Sum!B4</x:f>
        <x:v>37866.54157</x:v>
      </x:c>
      <x:c r="C4" s="22" t="n">
        <x:f>Imports_Sum!C4+Exports_Sum!C4</x:f>
        <x:v>51366.174231</x:v>
      </x:c>
      <x:c r="D4" s="26" t="n">
        <x:f>0</x:f>
        <x:v>0</x:v>
      </x:c>
      <x:c r="E4" s="22" t="n">
        <x:f>Imports_Sum!E4+Exports_Sum!E4</x:f>
        <x:v>38472.851477000004</x:v>
      </x:c>
      <x:c r="F4" s="22" t="n">
        <x:f>Imports_Sum!F4+Exports_Sum!F4</x:f>
        <x:v>494660.409319</x:v>
      </x:c>
      <x:c r="G4" s="22" t="n">
        <x:f>Imports_Sum!G4+Exports_Sum!G4</x:f>
        <x:v>533904.499823</x:v>
      </x:c>
      <x:c r="H4" s="22" t="n">
        <x:f>Imports_Sum!H4+Exports_Sum!H4</x:f>
        <x:v>244623.339092</x:v>
      </x:c>
      <x:c r="I4" s="22" t="n">
        <x:f>Imports_Sum!I4+Exports_Sum!I4</x:f>
        <x:v>267439.111329</x:v>
      </x:c>
      <x:c r="J4" s="22" t="n">
        <x:f>Imports_Sum!J4+Exports_Sum!J4</x:f>
        <x:v>100197.321925</x:v>
      </x:c>
      <x:c r="K4" s="22" t="n">
        <x:f>Imports_Sum!K4+Exports_Sum!K4</x:f>
        <x:v>72916.356026</x:v>
      </x:c>
      <x:c r="L4" s="22" t="n">
        <x:f>Imports_Sum!L4+Exports_Sum!L4</x:f>
        <x:v>21819.604315</x:v>
      </x:c>
      <x:c r="M4" s="22" t="n">
        <x:f>Imports_Sum!M4+Exports_Sum!M4</x:f>
        <x:v>15380.053234</x:v>
      </x:c>
      <x:c r="N4" s="22" t="n">
        <x:f>Imports_Sum!N4+Exports_Sum!N4</x:f>
        <x:v>6188959.759792</x:v>
      </x:c>
      <x:c r="O4" s="22" t="n">
        <x:f>Imports_Sum!O4+Exports_Sum!O4</x:f>
        <x:v>13942.287568</x:v>
      </x:c>
      <x:c r="P4" s="22" t="n">
        <x:f>SUM(B4:O4)</x:f>
        <x:v>8081548.309701</x:v>
      </x:c>
    </x:row>
    <x:row r="5">
      <x:c r="A5" s="20" t="str">
        <x:v>CH</x:v>
      </x:c>
      <x:c r="B5" s="22" t="n">
        <x:f>Imports_Sum!B5+Exports_Sum!B5</x:f>
        <x:v>23038.819109</x:v>
      </x:c>
      <x:c r="C5" s="22" t="n">
        <x:f>Imports_Sum!C5+Exports_Sum!C5</x:f>
        <x:v>28636.564332</x:v>
      </x:c>
      <x:c r="D5" s="22" t="n">
        <x:f>Imports_Sum!D5+Exports_Sum!D5</x:f>
        <x:v>34890.367321</x:v>
      </x:c>
      <x:c r="E5" s="26" t="n">
        <x:f>0</x:f>
        <x:v>0</x:v>
      </x:c>
      <x:c r="F5" s="22" t="n">
        <x:f>Imports_Sum!F5+Exports_Sum!F5</x:f>
        <x:v>107397.382342</x:v>
      </x:c>
      <x:c r="G5" s="22" t="n">
        <x:f>Imports_Sum!G5+Exports_Sum!G5</x:f>
        <x:v>2321565.805079</x:v>
      </x:c>
      <x:c r="H5" s="22" t="n">
        <x:f>Imports_Sum!H5+Exports_Sum!H5</x:f>
        <x:v>202415.35791199998</x:v>
      </x:c>
      <x:c r="I5" s="22" t="n">
        <x:f>Imports_Sum!I5+Exports_Sum!I5</x:f>
        <x:v>107840.855537</x:v>
      </x:c>
      <x:c r="J5" s="22" t="n">
        <x:f>Imports_Sum!J5+Exports_Sum!J5</x:f>
        <x:v>25791.980049</x:v>
      </x:c>
      <x:c r="K5" s="22" t="n">
        <x:f>Imports_Sum!K5+Exports_Sum!K5</x:f>
        <x:v>11625.921021</x:v>
      </x:c>
      <x:c r="L5" s="22" t="n">
        <x:f>Imports_Sum!L5+Exports_Sum!L5</x:f>
        <x:v>33996.06382</x:v>
      </x:c>
      <x:c r="M5" s="22" t="n">
        <x:f>Imports_Sum!M5+Exports_Sum!M5</x:f>
        <x:v>32688.72938</x:v>
      </x:c>
      <x:c r="N5" s="22" t="n">
        <x:f>Imports_Sum!N5+Exports_Sum!N5</x:f>
        <x:v>329475.40163800004</x:v>
      </x:c>
      <x:c r="O5" s="22" t="n">
        <x:f>Imports_Sum!O5+Exports_Sum!O5</x:f>
        <x:v>19136.491939</x:v>
      </x:c>
      <x:c r="P5" s="22" t="n">
        <x:f>SUM(B5:O5)</x:f>
        <x:v>3278499.7394789997</x:v>
      </x:c>
    </x:row>
    <x:row r="6">
      <x:c r="A6" s="20" t="str">
        <x:v>CN</x:v>
      </x:c>
      <x:c r="B6" s="22" t="n">
        <x:f>Imports_Sum!B6+Exports_Sum!B6</x:f>
        <x:v>602296.8236769999</x:v>
      </x:c>
      <x:c r="C6" s="22" t="n">
        <x:f>Imports_Sum!C6+Exports_Sum!C6</x:f>
        <x:v>419499.787107</x:v>
      </x:c>
      <x:c r="D6" s="22" t="n">
        <x:f>Imports_Sum!D6+Exports_Sum!D6</x:f>
        <x:v>319299.499538</x:v>
      </x:c>
      <x:c r="E6" s="22" t="n">
        <x:f>Imports_Sum!E6+Exports_Sum!E6</x:f>
        <x:v>127873.431805</x:v>
      </x:c>
      <x:c r="F6" s="26" t="n">
        <x:f>0</x:f>
        <x:v>0</x:v>
      </x:c>
      <x:c r="G6" s="22" t="n">
        <x:f>Imports_Sum!G6+Exports_Sum!G6</x:f>
        <x:v>2987627.661773</x:v>
      </x:c>
      <x:c r="H6" s="22" t="n">
        <x:f>Imports_Sum!H6+Exports_Sum!H6</x:f>
        <x:v>416958.004531</x:v>
      </x:c>
      <x:c r="I6" s="22" t="n">
        <x:f>Imports_Sum!I6+Exports_Sum!I6</x:f>
        <x:v>2666004.8095899997</x:v>
      </x:c>
      <x:c r="J6" s="22" t="n">
        <x:f>Imports_Sum!J6+Exports_Sum!J6</x:f>
        <x:v>1722193.4648179999</x:v>
      </x:c>
      <x:c r="K6" s="22" t="n">
        <x:f>Imports_Sum!K6+Exports_Sum!K6</x:f>
        <x:v>46737.168397</x:v>
      </x:c>
      <x:c r="L6" s="22" t="n">
        <x:f>Imports_Sum!L6+Exports_Sum!L6</x:f>
        <x:v>492108.98628099996</x:v>
      </x:c>
      <x:c r="M6" s="22" t="n">
        <x:f>Imports_Sum!M6+Exports_Sum!M6</x:f>
        <x:v>109848.432858</x:v>
      </x:c>
      <x:c r="N6" s="22" t="n">
        <x:f>Imports_Sum!N6+Exports_Sum!N6</x:f>
        <x:v>3272322.948985</x:v>
      </x:c>
      <x:c r="O6" s="22" t="n">
        <x:f>Imports_Sum!O6+Exports_Sum!O6</x:f>
        <x:v>209265.700169</x:v>
      </x:c>
      <x:c r="P6" s="22" t="n">
        <x:f>SUM(B6:O6)</x:f>
        <x:v>13392036.719529</x:v>
      </x:c>
    </x:row>
    <x:row r="7">
      <x:c r="A7" s="20" t="str">
        <x:v>EA</x:v>
      </x:c>
      <x:c r="B7" s="22" t="n">
        <x:f>Imports_Sum!B7+Exports_Sum!B7</x:f>
        <x:v>370173.586411</x:v>
      </x:c>
      <x:c r="C7" s="22" t="n">
        <x:f>Imports_Sum!C7+Exports_Sum!C7</x:f>
        <x:v>677110.549218</x:v>
      </x:c>
      <x:c r="D7" s="22" t="n">
        <x:f>Imports_Sum!D7+Exports_Sum!D7</x:f>
        <x:v>472260.54560199997</x:v>
      </x:c>
      <x:c r="E7" s="22" t="n">
        <x:f>Imports_Sum!E7+Exports_Sum!E7</x:f>
        <x:v>2353767.981279</x:v>
      </x:c>
      <x:c r="F7" s="22" t="n">
        <x:f>Imports_Sum!F7+Exports_Sum!F7</x:f>
        <x:v>3276379.958531</x:v>
      </x:c>
      <x:c r="G7" s="26" t="n">
        <x:f>0</x:f>
        <x:v>0</x:v>
      </x:c>
      <x:c r="H7" s="22" t="n">
        <x:f>Imports_Sum!H7+Exports_Sum!H7</x:f>
        <x:v>5789890.237163</x:v>
      </x:c>
      <x:c r="I7" s="22" t="n">
        <x:f>Imports_Sum!I7+Exports_Sum!I7</x:f>
        <x:v>1419383.278732</x:v>
      </x:c>
      <x:c r="J7" s="22" t="n">
        <x:f>Imports_Sum!J7+Exports_Sum!J7</x:f>
        <x:v>696734.791096</x:v>
      </x:c>
      <x:c r="K7" s="22" t="n">
        <x:f>Imports_Sum!K7+Exports_Sum!K7</x:f>
        <x:v>922946.917872</x:v>
      </x:c>
      <x:c r="L7" s="22" t="n">
        <x:f>Imports_Sum!L7+Exports_Sum!L7</x:f>
        <x:v>427762.60557</x:v>
      </x:c>
      <x:c r="M7" s="22" t="n">
        <x:f>Imports_Sum!M7+Exports_Sum!M7</x:f>
        <x:v>1044800.6414030001</x:v>
      </x:c>
      <x:c r="N7" s="22" t="n">
        <x:f>Imports_Sum!N7+Exports_Sum!N7</x:f>
        <x:v>5011934.683632</x:v>
      </x:c>
      <x:c r="O7" s="22" t="n">
        <x:f>Imports_Sum!O7+Exports_Sum!O7</x:f>
        <x:v>406731.537868</x:v>
      </x:c>
      <x:c r="P7" s="22" t="n">
        <x:f>SUM(B7:O7)</x:f>
        <x:v>22869877.314377002</x:v>
      </x:c>
    </x:row>
    <x:row r="8">
      <x:c r="A8" s="20" t="str">
        <x:v>UK</x:v>
      </x:c>
      <x:c r="B8" s="22" t="n">
        <x:f>Imports_Sum!B8+Exports_Sum!B8</x:f>
        <x:v>131871.207263</x:v>
      </x:c>
      <x:c r="C8" s="22" t="n">
        <x:f>Imports_Sum!C8+Exports_Sum!C8</x:f>
        <x:v>74393.346095</x:v>
      </x:c>
      <x:c r="D8" s="22" t="n">
        <x:f>Imports_Sum!D8+Exports_Sum!D8</x:f>
        <x:v>211559.173438</x:v>
      </x:c>
      <x:c r="E8" s="22" t="n">
        <x:f>Imports_Sum!E8+Exports_Sum!E8</x:f>
        <x:v>267350.370077</x:v>
      </x:c>
      <x:c r="F8" s="22" t="n">
        <x:f>Imports_Sum!F8+Exports_Sum!F8</x:f>
        <x:v>509774.968251</x:v>
      </x:c>
      <x:c r="G8" s="22" t="n">
        <x:f>Imports_Sum!G8+Exports_Sum!G8</x:f>
        <x:v>5404342.123947</x:v>
      </x:c>
      <x:c r="H8" s="26" t="n">
        <x:f>0</x:f>
        <x:v>0</x:v>
      </x:c>
      <x:c r="I8" s="22" t="n">
        <x:f>Imports_Sum!I8+Exports_Sum!I8</x:f>
        <x:v>270247.963022</x:v>
      </x:c>
      <x:c r="J8" s="22" t="n">
        <x:f>Imports_Sum!J8+Exports_Sum!J8</x:f>
        <x:v>104262.245085</x:v>
      </x:c>
      <x:c r="K8" s="22" t="n">
        <x:f>Imports_Sum!K8+Exports_Sum!K8</x:f>
        <x:v>350703.839268</x:v>
      </x:c>
      <x:c r="L8" s="22" t="n">
        <x:f>Imports_Sum!L8+Exports_Sum!L8</x:f>
        <x:v>116812.145372</x:v>
      </x:c>
      <x:c r="M8" s="22" t="n">
        <x:f>Imports_Sum!M8+Exports_Sum!M8</x:f>
        <x:v>131608.363091</x:v>
      </x:c>
      <x:c r="N8" s="22" t="n">
        <x:f>Imports_Sum!N8+Exports_Sum!N8</x:f>
        <x:v>1256330.930099</x:v>
      </x:c>
      <x:c r="O8" s="22" t="n">
        <x:f>Imports_Sum!O8+Exports_Sum!O8</x:f>
        <x:v>148578.175663</x:v>
      </x:c>
      <x:c r="P8" s="22" t="n">
        <x:f>SUM(B8:O8)</x:f>
        <x:v>8977834.850670999</x:v>
      </x:c>
    </x:row>
    <x:row r="9">
      <x:c r="A9" s="20" t="str">
        <x:v>JP</x:v>
      </x:c>
      <x:c r="B9" s="22" t="n">
        <x:f>Imports_Sum!B9+Exports_Sum!B9</x:f>
        <x:v>568982.383024</x:v>
      </x:c>
      <x:c r="C9" s="22" t="n">
        <x:f>Imports_Sum!C9+Exports_Sum!C9</x:f>
        <x:v>129548.456121</x:v>
      </x:c>
      <x:c r="D9" s="22" t="n">
        <x:f>Imports_Sum!D9+Exports_Sum!D9</x:f>
        <x:v>239239.37905699998</x:v>
      </x:c>
      <x:c r="E9" s="22" t="n">
        <x:f>Imports_Sum!E9+Exports_Sum!E9</x:f>
        <x:v>118902.074234</x:v>
      </x:c>
      <x:c r="F9" s="22" t="n">
        <x:f>Imports_Sum!F9+Exports_Sum!F9</x:f>
        <x:v>2696243.717143</x:v>
      </x:c>
      <x:c r="G9" s="22" t="n">
        <x:f>Imports_Sum!G9+Exports_Sum!G9</x:f>
        <x:v>1460493.818679</x:v>
      </x:c>
      <x:c r="H9" s="22" t="n">
        <x:f>Imports_Sum!H9+Exports_Sum!H9</x:f>
        <x:v>271728.704699</x:v>
      </x:c>
      <x:c r="I9" s="26" t="n">
        <x:f>0</x:f>
        <x:v>0</x:v>
      </x:c>
      <x:c r="J9" s="22" t="n">
        <x:f>Imports_Sum!J9+Exports_Sum!J9</x:f>
        <x:v>944070.1558360001</x:v>
      </x:c>
      <x:c r="K9" s="22" t="n">
        <x:f>Imports_Sum!K9+Exports_Sum!K9</x:f>
        <x:v>34383.459103</x:v>
      </x:c>
      <x:c r="L9" s="22" t="n">
        <x:f>Imports_Sum!L9+Exports_Sum!L9</x:f>
        <x:v>354833.235763</x:v>
      </x:c>
      <x:c r="M9" s="22" t="n">
        <x:f>Imports_Sum!M9+Exports_Sum!M9</x:f>
        <x:v>30404.336426</x:v>
      </x:c>
      <x:c r="N9" s="22" t="n">
        <x:f>Imports_Sum!N9+Exports_Sum!N9</x:f>
        <x:v>2574533.392609</x:v>
      </x:c>
      <x:c r="O9" s="22" t="n">
        <x:f>Imports_Sum!O9+Exports_Sum!O9</x:f>
        <x:v>114315.71061899999</x:v>
      </x:c>
      <x:c r="P9" s="22" t="n">
        <x:f>SUM(B9:O9)</x:f>
        <x:v>9537678.823313003</x:v>
      </x:c>
    </x:row>
    <x:row r="10">
      <x:c r="A10" s="20" t="str">
        <x:v>KR</x:v>
      </x:c>
      <x:c r="B10" s="22" t="n">
        <x:f>Imports_Sum!B10+Exports_Sum!B10</x:f>
        <x:v>229179.49064600002</x:v>
      </x:c>
      <x:c r="C10" s="22" t="n">
        <x:f>Imports_Sum!C10+Exports_Sum!C10</x:f>
        <x:v>97952.332051</x:v>
      </x:c>
      <x:c r="D10" s="22" t="n">
        <x:f>Imports_Sum!D10+Exports_Sum!D10</x:f>
        <x:v>87717.599204</x:v>
      </x:c>
      <x:c r="E10" s="22" t="n">
        <x:f>Imports_Sum!E10+Exports_Sum!E10</x:f>
        <x:v>27649.750143999998</x:v>
      </x:c>
      <x:c r="F10" s="22" t="n">
        <x:f>Imports_Sum!F10+Exports_Sum!F10</x:f>
        <x:v>1537276.210888</x:v>
      </x:c>
      <x:c r="G10" s="22" t="n">
        <x:f>Imports_Sum!G10+Exports_Sum!G10</x:f>
        <x:v>729722.042348</x:v>
      </x:c>
      <x:c r="H10" s="22" t="n">
        <x:f>Imports_Sum!H10+Exports_Sum!H10</x:f>
        <x:v>109821.798796</x:v>
      </x:c>
      <x:c r="I10" s="22" t="n">
        <x:f>Imports_Sum!I10+Exports_Sum!I10</x:f>
        <x:v>959431.9862859999</x:v>
      </x:c>
      <x:c r="J10" s="26" t="n">
        <x:f>0</x:f>
        <x:v>0</x:v>
      </x:c>
      <x:c r="K10" s="22" t="n">
        <x:f>Imports_Sum!K10+Exports_Sum!K10</x:f>
        <x:v>34440.525169</x:v>
      </x:c>
      <x:c r="L10" s="22" t="n">
        <x:f>Imports_Sum!L10+Exports_Sum!L10</x:f>
        <x:v>221484.911237</x:v>
      </x:c>
      <x:c r="M10" s="22" t="n">
        <x:f>Imports_Sum!M10+Exports_Sum!M10</x:f>
        <x:v>40110.418649</x:v>
      </x:c>
      <x:c r="N10" s="22" t="n">
        <x:f>Imports_Sum!N10+Exports_Sum!N10</x:f>
        <x:v>987161.1081419999</x:v>
      </x:c>
      <x:c r="O10" s="22" t="n">
        <x:f>Imports_Sum!O10+Exports_Sum!O10</x:f>
        <x:v>35357.060935999994</x:v>
      </x:c>
      <x:c r="P10" s="22" t="n">
        <x:f>SUM(B10:O10)</x:f>
        <x:v>5097305.234496</x:v>
      </x:c>
    </x:row>
    <x:row r="11">
      <x:c r="A11" s="20" t="str">
        <x:v>NO</x:v>
      </x:c>
      <x:c r="B11" s="22" t="n">
        <x:f>Imports_Sum!B11+Exports_Sum!B11</x:f>
        <x:v>4033.257037</x:v>
      </x:c>
      <x:c r="C11" s="22" t="n">
        <x:f>Imports_Sum!C11+Exports_Sum!C11</x:f>
        <x:v>15438.888035</x:v>
      </x:c>
      <x:c r="D11" s="22" t="n">
        <x:f>Imports_Sum!D11+Exports_Sum!D11</x:f>
        <x:v>61409.85969900001</x:v>
      </x:c>
      <x:c r="E11" s="22" t="n">
        <x:f>Imports_Sum!E11+Exports_Sum!E11</x:f>
        <x:v>16245.4995</x:v>
      </x:c>
      <x:c r="F11" s="22" t="n">
        <x:f>Imports_Sum!F11+Exports_Sum!F11</x:f>
        <x:v>72705.607898</x:v>
      </x:c>
      <x:c r="G11" s="22" t="n">
        <x:f>Imports_Sum!G11+Exports_Sum!G11</x:f>
        <x:v>899206.801444</x:v>
      </x:c>
      <x:c r="H11" s="22" t="n">
        <x:f>Imports_Sum!H11+Exports_Sum!H11</x:f>
        <x:v>412117.573276</x:v>
      </x:c>
      <x:c r="I11" s="22" t="n">
        <x:f>Imports_Sum!I11+Exports_Sum!I11</x:f>
        <x:v>37006.591734999995</x:v>
      </x:c>
      <x:c r="J11" s="22" t="n">
        <x:f>Imports_Sum!J11+Exports_Sum!J11</x:f>
        <x:v>29791.161106</x:v>
      </x:c>
      <x:c r="K11" s="26" t="n">
        <x:f>0</x:f>
        <x:v>0</x:v>
      </x:c>
      <x:c r="L11" s="22" t="n">
        <x:f>Imports_Sum!L11+Exports_Sum!L11</x:f>
        <x:v>13046.612959</x:v>
      </x:c>
      <x:c r="M11" s="22" t="n">
        <x:f>Imports_Sum!M11+Exports_Sum!M11</x:f>
        <x:v>11785.058278</x:v>
      </x:c>
      <x:c r="N11" s="22" t="n">
        <x:f>Imports_Sum!N11+Exports_Sum!N11</x:f>
        <x:v>130221.41978</x:v>
      </x:c>
      <x:c r="O11" s="22" t="n">
        <x:f>Imports_Sum!O11+Exports_Sum!O11</x:f>
        <x:v>4060.862449</x:v>
      </x:c>
      <x:c r="P11" s="22" t="n">
        <x:f>SUM(B11:O11)</x:f>
        <x:v>1707069.1931959998</x:v>
      </x:c>
    </x:row>
    <x:row r="12">
      <x:c r="A12" s="20" t="str">
        <x:v>SG</x:v>
      </x:c>
      <x:c r="B12" s="22" t="n">
        <x:f>Imports_Sum!B12+Exports_Sum!B12</x:f>
        <x:v>162994.578778</x:v>
      </x:c>
      <x:c r="C12" s="22" t="n">
        <x:f>Imports_Sum!C12+Exports_Sum!C12</x:f>
        <x:v>23815.616514</x:v>
      </x:c>
      <x:c r="D12" s="22" t="n">
        <x:f>Imports_Sum!D12+Exports_Sum!D12</x:f>
        <x:v>25101.563030999998</x:v>
      </x:c>
      <x:c r="E12" s="22" t="n">
        <x:f>Imports_Sum!E12+Exports_Sum!E12</x:f>
        <x:v>45702.734939</x:v>
      </x:c>
      <x:c r="F12" s="22" t="n">
        <x:f>Imports_Sum!F12+Exports_Sum!F12</x:f>
        <x:v>599775.08175</x:v>
      </x:c>
      <x:c r="G12" s="22" t="n">
        <x:f>Imports_Sum!G12+Exports_Sum!G12</x:f>
        <x:v>562564.944924</x:v>
      </x:c>
      <x:c r="H12" s="22" t="n">
        <x:f>Imports_Sum!H12+Exports_Sum!H12</x:f>
        <x:v>127019.85547499999</x:v>
      </x:c>
      <x:c r="I12" s="22" t="n">
        <x:f>Imports_Sum!I12+Exports_Sum!I12</x:f>
        <x:v>442497.036203</x:v>
      </x:c>
      <x:c r="J12" s="22" t="n">
        <x:f>Imports_Sum!J12+Exports_Sum!J12</x:f>
        <x:v>281244.383538</x:v>
      </x:c>
      <x:c r="K12" s="22" t="n">
        <x:f>Imports_Sum!K12+Exports_Sum!K12</x:f>
        <x:v>14238.369333999999</x:v>
      </x:c>
      <x:c r="L12" s="26" t="n">
        <x:f>0</x:f>
        <x:v>0</x:v>
      </x:c>
      <x:c r="M12" s="22" t="n">
        <x:f>Imports_Sum!M12+Exports_Sum!M12</x:f>
        <x:v>8844.755139</x:v>
      </x:c>
      <x:c r="N12" s="22" t="n">
        <x:f>Imports_Sum!N12+Exports_Sum!N12</x:f>
        <x:v>656308.529764</x:v>
      </x:c>
      <x:c r="O12" s="22" t="n">
        <x:f>Imports_Sum!O12+Exports_Sum!O12</x:f>
        <x:v>15562.766576999999</x:v>
      </x:c>
      <x:c r="P12" s="22" t="n">
        <x:f>SUM(B12:O12)</x:f>
        <x:v>2965670.2159659998</x:v>
      </x:c>
    </x:row>
    <x:row r="13">
      <x:c r="A13" s="20" t="str">
        <x:v>TR</x:v>
      </x:c>
      <x:c r="B13" s="22" t="n">
        <x:f>Imports_Sum!B13+Exports_Sum!B13</x:f>
        <x:v>9345.993229</x:v>
      </x:c>
      <x:c r="C13" s="22" t="n">
        <x:f>Imports_Sum!C13+Exports_Sum!C13</x:f>
        <x:v>16306.008576</x:v>
      </x:c>
      <x:c r="D13" s="22" t="n">
        <x:f>Imports_Sum!D13+Exports_Sum!D13</x:f>
        <x:v>14365.658049</x:v>
      </x:c>
      <x:c r="E13" s="22" t="n">
        <x:f>Imports_Sum!E13+Exports_Sum!E13</x:f>
        <x:v>60486.214923</x:v>
      </x:c>
      <x:c r="F13" s="22" t="n">
        <x:f>Imports_Sum!F13+Exports_Sum!F13</x:f>
        <x:v>143312.673512</x:v>
      </x:c>
      <x:c r="G13" s="22" t="n">
        <x:f>Imports_Sum!G13+Exports_Sum!G13</x:f>
        <x:v>946278.790701</x:v>
      </x:c>
      <x:c r="H13" s="22" t="n">
        <x:f>Imports_Sum!H13+Exports_Sum!H13</x:f>
        <x:v>131118.85047499998</x:v>
      </x:c>
      <x:c r="I13" s="22" t="n">
        <x:f>Imports_Sum!I13+Exports_Sum!I13</x:f>
        <x:v>39958.716702</x:v>
      </x:c>
      <x:c r="J13" s="22" t="n">
        <x:f>Imports_Sum!J13+Exports_Sum!J13</x:f>
        <x:v>44716.940855</x:v>
      </x:c>
      <x:c r="K13" s="22" t="n">
        <x:f>Imports_Sum!K13+Exports_Sum!K13</x:f>
        <x:v>10550.162429</x:v>
      </x:c>
      <x:c r="L13" s="22" t="n">
        <x:f>Imports_Sum!L13+Exports_Sum!L13</x:f>
        <x:v>7038.307251</x:v>
      </x:c>
      <x:c r="M13" s="26" t="n">
        <x:f>0</x:f>
        <x:v>0</x:v>
      </x:c>
      <x:c r="N13" s="22" t="n">
        <x:f>Imports_Sum!N13+Exports_Sum!N13</x:f>
        <x:v>155712.010927</x:v>
      </x:c>
      <x:c r="O13" s="22" t="n">
        <x:f>Imports_Sum!O13+Exports_Sum!O13</x:f>
        <x:v>19515.403527000002</x:v>
      </x:c>
      <x:c r="P13" s="22" t="n">
        <x:f>SUM(B13:O13)</x:f>
        <x:v>1598705.7311560002</x:v>
      </x:c>
    </x:row>
    <x:row r="14">
      <x:c r="A14" s="20" t="str">
        <x:v>US</x:v>
      </x:c>
      <x:c r="B14" s="22" t="n">
        <x:f>Imports_Sum!B14+Exports_Sum!B14</x:f>
        <x:v>347283.128442</x:v>
      </x:c>
      <x:c r="C14" s="22" t="n">
        <x:f>Imports_Sum!C14+Exports_Sum!C14</x:f>
        <x:v>620471.817905</x:v>
      </x:c>
      <x:c r="D14" s="22" t="n">
        <x:f>Imports_Sum!D14+Exports_Sum!D14</x:f>
        <x:v>6390400.330783</x:v>
      </x:c>
      <x:c r="E14" s="22" t="n">
        <x:f>Imports_Sum!E14+Exports_Sum!E14</x:f>
        <x:v>400524.237057</x:v>
      </x:c>
      <x:c r="F14" s="22" t="n">
        <x:f>Imports_Sum!F14+Exports_Sum!F14</x:f>
        <x:v>4232710.054575</x:v>
      </x:c>
      <x:c r="G14" s="22" t="n">
        <x:f>Imports_Sum!G14+Exports_Sum!G14</x:f>
        <x:v>5058324.611773</x:v>
      </x:c>
      <x:c r="H14" s="22" t="n">
        <x:f>Imports_Sum!H14+Exports_Sum!H14</x:f>
        <x:v>1227901.4049459998</x:v>
      </x:c>
      <x:c r="I14" s="22" t="n">
        <x:f>Imports_Sum!I14+Exports_Sum!I14</x:f>
        <x:v>2514603.406057</x:v>
      </x:c>
      <x:c r="J14" s="22" t="n">
        <x:f>Imports_Sum!J14+Exports_Sum!J14</x:f>
        <x:v>1004896.087199</x:v>
      </x:c>
      <x:c r="K14" s="22" t="n">
        <x:f>Imports_Sum!K14+Exports_Sum!K14</x:f>
        <x:v>118969.20352000001</x:v>
      </x:c>
      <x:c r="L14" s="22" t="n">
        <x:f>Imports_Sum!L14+Exports_Sum!L14</x:f>
        <x:v>523575.041112</x:v>
      </x:c>
      <x:c r="M14" s="22" t="n">
        <x:f>Imports_Sum!M14+Exports_Sum!M14</x:f>
        <x:v>148730.320061</x:v>
      </x:c>
      <x:c r="N14" s="26" t="n">
        <x:f>0</x:f>
        <x:v>0</x:v>
      </x:c>
      <x:c r="O14" s="22" t="n">
        <x:f>Imports_Sum!O14+Exports_Sum!O14</x:f>
        <x:v>149845.508264</x:v>
      </x:c>
      <x:c r="P14" s="22" t="n">
        <x:f>SUM(B14:O14)</x:f>
        <x:v>22738235.151693996</x:v>
      </x:c>
    </x:row>
    <x:row r="15">
      <x:c r="A15" s="20" t="str">
        <x:v>ZA</x:v>
      </x:c>
      <x:c r="B15" s="22" t="n">
        <x:f>Imports_Sum!B15+Exports_Sum!B15</x:f>
        <x:v>27992.494527</x:v>
      </x:c>
      <x:c r="C15" s="22" t="n">
        <x:f>Imports_Sum!C15+Exports_Sum!C15</x:f>
        <x:v>21586.447256</x:v>
      </x:c>
      <x:c r="D15" s="22" t="n">
        <x:f>Imports_Sum!D15+Exports_Sum!D15</x:f>
        <x:v>15289.182691999998</x:v>
      </x:c>
      <x:c r="E15" s="22" t="n">
        <x:f>Imports_Sum!E15+Exports_Sum!E15</x:f>
        <x:v>28512.587862</x:v>
      </x:c>
      <x:c r="F15" s="22" t="n">
        <x:f>Imports_Sum!F15+Exports_Sum!F15</x:f>
        <x:v>148376.038908</x:v>
      </x:c>
      <x:c r="G15" s="22" t="n">
        <x:f>Imports_Sum!G15+Exports_Sum!G15</x:f>
        <x:v>370965.488958</x:v>
      </x:c>
      <x:c r="H15" s="22" t="n">
        <x:f>Imports_Sum!H15+Exports_Sum!H15</x:f>
        <x:v>90907.202529</x:v>
      </x:c>
      <x:c r="I15" s="22" t="n">
        <x:f>Imports_Sum!I15+Exports_Sum!I15</x:f>
        <x:v>110809.78798</x:v>
      </x:c>
      <x:c r="J15" s="22" t="n">
        <x:f>Imports_Sum!J15+Exports_Sum!J15</x:f>
        <x:v>31425.546017</x:v>
      </x:c>
      <x:c r="K15" s="22" t="n">
        <x:f>Imports_Sum!K15+Exports_Sum!K15</x:f>
        <x:v>2918.511055</x:v>
      </x:c>
      <x:c r="L15" s="22" t="n">
        <x:f>Imports_Sum!L15+Exports_Sum!L15</x:f>
        <x:v>13526.85036</x:v>
      </x:c>
      <x:c r="M15" s="22" t="n">
        <x:f>Imports_Sum!M15+Exports_Sum!M15</x:f>
        <x:v>8592.79292</x:v>
      </x:c>
      <x:c r="N15" s="22" t="n">
        <x:f>Imports_Sum!N15+Exports_Sum!N15</x:f>
        <x:v>140201.890489</x:v>
      </x:c>
      <x:c r="O15" s="26" t="n">
        <x:f>0</x:f>
        <x:v>0</x:v>
      </x:c>
      <x:c r="P15" s="22" t="n">
        <x:f>SUM(B15:O15)</x:f>
        <x:v>1011104.821553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2" hidden="0" customWidth="1"/>
  </x:cols>
  <x:sheetData>
    <x:row r="1">
      <x:c r="A1" s="17" t="str">
        <x:v>Origin / Partner</x:v>
      </x:c>
      <x:c r="B1" s="17" t="str">
        <x:v>AU</x:v>
      </x:c>
      <x:c r="C1" s="17" t="str">
        <x:v>BR</x:v>
      </x:c>
      <x:c r="D1" s="17" t="str">
        <x:v>CA</x:v>
      </x:c>
      <x:c r="E1" s="17" t="str">
        <x:v>CH</x:v>
      </x:c>
      <x:c r="F1" s="17" t="str">
        <x:v>CN</x:v>
      </x:c>
      <x:c r="G1" s="17" t="str">
        <x:v>EA</x:v>
      </x:c>
      <x:c r="H1" s="17" t="str">
        <x:v>UK</x:v>
      </x:c>
      <x:c r="I1" s="17" t="str">
        <x:v>JP</x:v>
      </x:c>
      <x:c r="J1" s="17" t="str">
        <x:v>KR</x:v>
      </x:c>
      <x:c r="K1" s="17" t="str">
        <x:v>NO</x:v>
      </x:c>
      <x:c r="L1" s="17" t="str">
        <x:v>SG</x:v>
      </x:c>
      <x:c r="M1" s="17" t="str">
        <x:v>TR</x:v>
      </x:c>
      <x:c r="N1" s="17" t="str">
        <x:v>US</x:v>
      </x:c>
      <x:c r="O1" s="17" t="str">
        <x:v>ZA</x:v>
      </x:c>
      <x:c r="P1" s="17" t="str">
        <x:v>Row Sum</x:v>
      </x:c>
      <x:c r="Q1" s="17" t="str">
        <x:v>Check</x:v>
      </x:c>
    </x:row>
    <x:row r="2">
      <x:c r="A2" s="20" t="str">
        <x:v>AU</x:v>
      </x:c>
      <x:c r="B2" s="28" t="n">
        <x:f>0</x:f>
        <x:v>0</x:v>
      </x:c>
      <x:c r="C2" s="24" t="n">
        <x:f>IF(Bilateral_Trade!$P2=0,0,Bilateral_Trade!C2/Bilateral_Trade!$P2)</x:f>
        <x:v>0.00681696983824398</x:v>
      </x:c>
      <x:c r="D2" s="24" t="n">
        <x:f>IF(Bilateral_Trade!$P2=0,0,Bilateral_Trade!D2/Bilateral_Trade!$P2)</x:f>
        <x:v>0.014605540635726288</x:v>
      </x:c>
      <x:c r="E2" s="24" t="n">
        <x:f>IF(Bilateral_Trade!$P2=0,0,Bilateral_Trade!E2/Bilateral_Trade!$P2)</x:f>
        <x:v>0.010303519864754248</x:v>
      </x:c>
      <x:c r="F2" s="24" t="n">
        <x:f>IF(Bilateral_Trade!$P2=0,0,Bilateral_Trade!F2/Bilateral_Trade!$P2)</x:f>
        <x:v>0.2507770208034716</x:v>
      </x:c>
      <x:c r="G2" s="24" t="n">
        <x:f>IF(Bilateral_Trade!$P2=0,0,Bilateral_Trade!G2/Bilateral_Trade!$P2)</x:f>
        <x:v>0.14922244555272088</x:v>
      </x:c>
      <x:c r="H2" s="24" t="n">
        <x:f>IF(Bilateral_Trade!$P2=0,0,Bilateral_Trade!H2/Bilateral_Trade!$P2)</x:f>
        <x:v>0.05498382797952833</x:v>
      </x:c>
      <x:c r="I2" s="24" t="n">
        <x:f>IF(Bilateral_Trade!$P2=0,0,Bilateral_Trade!I2/Bilateral_Trade!$P2)</x:f>
        <x:v>0.21067319951809044</x:v>
      </x:c>
      <x:c r="J2" s="24" t="n">
        <x:f>IF(Bilateral_Trade!$P2=0,0,Bilateral_Trade!J2/Bilateral_Trade!$P2)</x:f>
        <x:v>0.08410197074229082</x:v>
      </x:c>
      <x:c r="K2" s="24" t="n">
        <x:f>IF(Bilateral_Trade!$P2=0,0,Bilateral_Trade!K2/Bilateral_Trade!$P2)</x:f>
        <x:v>0.0018287395999258998</x:v>
      </x:c>
      <x:c r="L2" s="24" t="n">
        <x:f>IF(Bilateral_Trade!$P2=0,0,Bilateral_Trade!L2/Bilateral_Trade!$P2)</x:f>
        <x:v>0.061517626340580514</x:v>
      </x:c>
      <x:c r="M2" s="24" t="n">
        <x:f>IF(Bilateral_Trade!$P2=0,0,Bilateral_Trade!M2/Bilateral_Trade!$P2)</x:f>
        <x:v>0.0034156058151688807</x:v>
      </x:c>
      <x:c r="N2" s="24" t="n">
        <x:f>IF(Bilateral_Trade!$P2=0,0,Bilateral_Trade!N2/Bilateral_Trade!$P2)</x:f>
        <x:v>0.1400365367189537</x:v>
      </x:c>
      <x:c r="O2" s="24" t="n">
        <x:f>IF(Bilateral_Trade!$P2=0,0,Bilateral_Trade!O2/Bilateral_Trade!$P2)</x:f>
        <x:v>0.011716996590544343</x:v>
      </x:c>
      <x:c r="P2" s="24" t="n">
        <x:f>SUM(B2:O2)</x:f>
        <x:v>1</x:v>
      </x:c>
      <x:c r="Q2" t="str">
        <x:f>IF(ABS(P2-1)&lt;0.0000001,"OK","CHECK")</x:f>
        <x:v>OK</x:v>
      </x:c>
    </x:row>
    <x:row r="3">
      <x:c r="A3" s="20" t="str">
        <x:v>BR</x:v>
      </x:c>
      <x:c r="B3" s="24" t="n">
        <x:f>IF(Bilateral_Trade!$P3=0,0,Bilateral_Trade!B3/Bilateral_Trade!$P3)</x:f>
        <x:v>0.008789728246983687</x:v>
      </x:c>
      <x:c r="C3" s="28" t="n">
        <x:f>0</x:f>
        <x:v>0</x:v>
      </x:c>
      <x:c r="D3" s="24" t="n">
        <x:f>IF(Bilateral_Trade!$P3=0,0,Bilateral_Trade!D3/Bilateral_Trade!$P3)</x:f>
        <x:v>0.02329110907167298</x:v>
      </x:c>
      <x:c r="E3" s="24" t="n">
        <x:f>IF(Bilateral_Trade!$P3=0,0,Bilateral_Trade!E3/Bilateral_Trade!$P3)</x:f>
        <x:v>0.018631068213828452</x:v>
      </x:c>
      <x:c r="F3" s="24" t="n">
        <x:f>IF(Bilateral_Trade!$P3=0,0,Bilateral_Trade!F3/Bilateral_Trade!$P3)</x:f>
        <x:v>0.18371611829916576</x:v>
      </x:c>
      <x:c r="G3" s="24" t="n">
        <x:f>IF(Bilateral_Trade!$P3=0,0,Bilateral_Trade!G3/Bilateral_Trade!$P3)</x:f>
        <x:v>0.32657915836528717</x:v>
      </x:c>
      <x:c r="H3" s="24" t="n">
        <x:f>IF(Bilateral_Trade!$P3=0,0,Bilateral_Trade!H3/Bilateral_Trade!$P3)</x:f>
        <x:v>0.03357129730094584</x:v>
      </x:c>
      <x:c r="I3" s="24" t="n">
        <x:f>IF(Bilateral_Trade!$P3=0,0,Bilateral_Trade!I3/Bilateral_Trade!$P3)</x:f>
        <x:v>0.06120585556514253</x:v>
      </x:c>
      <x:c r="J3" s="24" t="n">
        <x:f>IF(Bilateral_Trade!$P3=0,0,Bilateral_Trade!J3/Bilateral_Trade!$P3)</x:f>
        <x:v>0.04305701784993204</x:v>
      </x:c>
      <x:c r="K3" s="24" t="n">
        <x:f>IF(Bilateral_Trade!$P3=0,0,Bilateral_Trade!K3/Bilateral_Trade!$P3)</x:f>
        <x:v>0.006599717528813354</x:v>
      </x:c>
      <x:c r="L3" s="24" t="n">
        <x:f>IF(Bilateral_Trade!$P3=0,0,Bilateral_Trade!L3/Bilateral_Trade!$P3)</x:f>
        <x:v>0.012977845442222972</x:v>
      </x:c>
      <x:c r="M3" s="24" t="n">
        <x:f>IF(Bilateral_Trade!$P3=0,0,Bilateral_Trade!M3/Bilateral_Trade!$P3)</x:f>
        <x:v>0.0063833886880861924</x:v>
      </x:c>
      <x:c r="N3" s="24" t="n">
        <x:f>IF(Bilateral_Trade!$P3=0,0,Bilateral_Trade!N3/Bilateral_Trade!$P3)</x:f>
        <x:v>0.2642478633338616</x:v>
      </x:c>
      <x:c r="O3" s="24" t="n">
        <x:f>IF(Bilateral_Trade!$P3=0,0,Bilateral_Trade!O3/Bilateral_Trade!$P3)</x:f>
        <x:v>0.010949832094057496</x:v>
      </x:c>
      <x:c r="P3" s="24" t="n">
        <x:f>SUM(B3:O3)</x:f>
        <x:v>1.0000000000000002</x:v>
      </x:c>
      <x:c r="Q3" t="str">
        <x:f>IF(ABS(P3-1)&lt;0.0000001,"OK","CHECK")</x:f>
        <x:v>OK</x:v>
      </x:c>
    </x:row>
    <x:row r="4">
      <x:c r="A4" s="20" t="str">
        <x:v>CA</x:v>
      </x:c>
      <x:c r="B4" s="24" t="n">
        <x:f>IF(Bilateral_Trade!$P4=0,0,Bilateral_Trade!B4/Bilateral_Trade!$P4)</x:f>
        <x:v>0.004685555306839585</x:v>
      </x:c>
      <x:c r="C4" s="24" t="n">
        <x:f>IF(Bilateral_Trade!$P4=0,0,Bilateral_Trade!C4/Bilateral_Trade!$P4)</x:f>
        <x:v>0.006355981832013627</x:v>
      </x:c>
      <x:c r="D4" s="28" t="n">
        <x:f>0</x:f>
        <x:v>0</x:v>
      </x:c>
      <x:c r="E4" s="24" t="n">
        <x:f>IF(Bilateral_Trade!$P4=0,0,Bilateral_Trade!E4/Bilateral_Trade!$P4)</x:f>
        <x:v>0.0047605792853849084</x:v>
      </x:c>
      <x:c r="F4" s="24" t="n">
        <x:f>IF(Bilateral_Trade!$P4=0,0,Bilateral_Trade!F4/Bilateral_Trade!$P4)</x:f>
        <x:v>0.06120861874020046</x:v>
      </x:c>
      <x:c r="G4" s="24" t="n">
        <x:f>IF(Bilateral_Trade!$P4=0,0,Bilateral_Trade!G4/Bilateral_Trade!$P4)</x:f>
        <x:v>0.06606463011328004</x:v>
      </x:c>
      <x:c r="H4" s="24" t="n">
        <x:f>IF(Bilateral_Trade!$P4=0,0,Bilateral_Trade!H4/Bilateral_Trade!$P4)</x:f>
        <x:v>0.030269365438100132</x:v>
      </x:c>
      <x:c r="I4" s="24" t="n">
        <x:f>IF(Bilateral_Trade!$P4=0,0,Bilateral_Trade!I4/Bilateral_Trade!$P4)</x:f>
        <x:v>0.03309255863854319</x:v>
      </x:c>
      <x:c r="J4" s="24" t="n">
        <x:f>IF(Bilateral_Trade!$P4=0,0,Bilateral_Trade!J4/Bilateral_Trade!$P4)</x:f>
        <x:v>0.012398282864277906</x:v>
      </x:c>
      <x:c r="K4" s="24" t="n">
        <x:f>IF(Bilateral_Trade!$P4=0,0,Bilateral_Trade!K4/Bilateral_Trade!$P4)</x:f>
        <x:v>0.009022572560566397</x:v>
      </x:c>
      <x:c r="L4" s="24" t="n">
        <x:f>IF(Bilateral_Trade!$P4=0,0,Bilateral_Trade!L4/Bilateral_Trade!$P4)</x:f>
        <x:v>0.002699928711532664</x:v>
      </x:c>
      <x:c r="M4" s="24" t="n">
        <x:f>IF(Bilateral_Trade!$P4=0,0,Bilateral_Trade!M4/Bilateral_Trade!$P4)</x:f>
        <x:v>0.0019031072567540005</x:v>
      </x:c>
      <x:c r="N4" s="24" t="n">
        <x:f>IF(Bilateral_Trade!$P4=0,0,Bilateral_Trade!N4/Bilateral_Trade!$P4)</x:f>
        <x:v>0.765813619200029</x:v>
      </x:c>
      <x:c r="O4" s="24" t="n">
        <x:f>IF(Bilateral_Trade!$P4=0,0,Bilateral_Trade!O4/Bilateral_Trade!$P4)</x:f>
        <x:v>0.0017252000524780424</x:v>
      </x:c>
      <x:c r="P4" s="24" t="n">
        <x:f>SUM(B4:O4)</x:f>
        <x:v>0.9999999999999999</x:v>
      </x:c>
      <x:c r="Q4" t="str">
        <x:f>IF(ABS(P4-1)&lt;0.0000001,"OK","CHECK")</x:f>
        <x:v>OK</x:v>
      </x:c>
    </x:row>
    <x:row r="5">
      <x:c r="A5" s="20" t="str">
        <x:v>CH</x:v>
      </x:c>
      <x:c r="B5" s="24" t="n">
        <x:f>IF(Bilateral_Trade!$P5=0,0,Bilateral_Trade!B5/Bilateral_Trade!$P5)</x:f>
        <x:v>0.007027244453178208</x:v>
      </x:c>
      <x:c r="C5" s="24" t="n">
        <x:f>IF(Bilateral_Trade!$P5=0,0,Bilateral_Trade!C5/Bilateral_Trade!$P5)</x:f>
        <x:v>0.008734655057971961</x:v>
      </x:c>
      <x:c r="D5" s="24" t="n">
        <x:f>IF(Bilateral_Trade!$P5=0,0,Bilateral_Trade!D5/Bilateral_Trade!$P5)</x:f>
        <x:v>0.010642174803571762</x:v>
      </x:c>
      <x:c r="E5" s="28" t="n">
        <x:f>0</x:f>
        <x:v>0</x:v>
      </x:c>
      <x:c r="F5" s="24" t="n">
        <x:f>IF(Bilateral_Trade!$P5=0,0,Bilateral_Trade!F5/Bilateral_Trade!$P5)</x:f>
        <x:v>0.032758087807280706</x:v>
      </x:c>
      <x:c r="G5" s="24" t="n">
        <x:f>IF(Bilateral_Trade!$P5=0,0,Bilateral_Trade!G5/Bilateral_Trade!$P5)</x:f>
        <x:v>0.7081183436201615</x:v>
      </x:c>
      <x:c r="H5" s="24" t="n">
        <x:f>IF(Bilateral_Trade!$P5=0,0,Bilateral_Trade!H5/Bilateral_Trade!$P5)</x:f>
        <x:v>0.061740239132721926</x:v>
      </x:c>
      <x:c r="I5" s="24" t="n">
        <x:f>IF(Bilateral_Trade!$P5=0,0,Bilateral_Trade!I5/Bilateral_Trade!$P5)</x:f>
        <x:v>0.03289335492036288</x:v>
      </x:c>
      <x:c r="J5" s="24" t="n">
        <x:f>IF(Bilateral_Trade!$P5=0,0,Bilateral_Trade!J5/Bilateral_Trade!$P5)</x:f>
        <x:v>0.007867006892945099</x:v>
      </x:c>
      <x:c r="K5" s="24" t="n">
        <x:f>IF(Bilateral_Trade!$P5=0,0,Bilateral_Trade!K5/Bilateral_Trade!$P5)</x:f>
        <x:v>0.0035461100945054593</x:v>
      </x:c>
      <x:c r="L5" s="24" t="n">
        <x:f>IF(Bilateral_Trade!$P5=0,0,Bilateral_Trade!L5/Bilateral_Trade!$P5)</x:f>
        <x:v>0.010369396529341332</x:v>
      </x:c>
      <x:c r="M5" s="24" t="n">
        <x:f>IF(Bilateral_Trade!$P5=0,0,Bilateral_Trade!M5/Bilateral_Trade!$P5)</x:f>
        <x:v>0.009970636564758339</x:v>
      </x:c>
      <x:c r="N5" s="24" t="n">
        <x:f>IF(Bilateral_Trade!$P5=0,0,Bilateral_Trade!N5/Bilateral_Trade!$P5)</x:f>
        <x:v>0.10049578399245454</x:v>
      </x:c>
      <x:c r="O5" s="24" t="n">
        <x:f>IF(Bilateral_Trade!$P5=0,0,Bilateral_Trade!O5/Bilateral_Trade!$P5)</x:f>
        <x:v>0.005836966130746455</x:v>
      </x:c>
      <x:c r="P5" s="24" t="n">
        <x:f>SUM(B5:O5)</x:f>
        <x:v>1.0000000000000002</x:v>
      </x:c>
      <x:c r="Q5" t="str">
        <x:f>IF(ABS(P5-1)&lt;0.0000001,"OK","CHECK")</x:f>
        <x:v>OK</x:v>
      </x:c>
    </x:row>
    <x:row r="6">
      <x:c r="A6" s="20" t="str">
        <x:v>CN</x:v>
      </x:c>
      <x:c r="B6" s="24" t="n">
        <x:f>IF(Bilateral_Trade!$P6=0,0,Bilateral_Trade!B6/Bilateral_Trade!$P6)</x:f>
        <x:v>0.04497425121293894</x:v>
      </x:c>
      <x:c r="C6" s="24" t="n">
        <x:f>IF(Bilateral_Trade!$P6=0,0,Bilateral_Trade!C6/Bilateral_Trade!$P6)</x:f>
        <x:v>0.03132456965976374</x:v>
      </x:c>
      <x:c r="D6" s="24" t="n">
        <x:f>IF(Bilateral_Trade!$P6=0,0,Bilateral_Trade!D6/Bilateral_Trade!$P6)</x:f>
        <x:v>0.023842489848641173</x:v>
      </x:c>
      <x:c r="E6" s="24" t="n">
        <x:f>IF(Bilateral_Trade!$P6=0,0,Bilateral_Trade!E6/Bilateral_Trade!$P6)</x:f>
        <x:v>0.009548467830776479</x:v>
      </x:c>
      <x:c r="F6" s="28" t="n">
        <x:f>0</x:f>
        <x:v>0</x:v>
      </x:c>
      <x:c r="G6" s="24" t="n">
        <x:f>IF(Bilateral_Trade!$P6=0,0,Bilateral_Trade!G6/Bilateral_Trade!$P6)</x:f>
        <x:v>0.22308986484604526</x:v>
      </x:c>
      <x:c r="H6" s="24" t="n">
        <x:f>IF(Bilateral_Trade!$P6=0,0,Bilateral_Trade!H6/Bilateral_Trade!$P6)</x:f>
        <x:v>0.031134771600720677</x:v>
      </x:c>
      <x:c r="I6" s="24" t="n">
        <x:f>IF(Bilateral_Trade!$P6=0,0,Bilateral_Trade!I6/Bilateral_Trade!$P6)</x:f>
        <x:v>0.19907388737235807</x:v>
      </x:c>
      <x:c r="J6" s="24" t="n">
        <x:f>IF(Bilateral_Trade!$P6=0,0,Bilateral_Trade!J6/Bilateral_Trade!$P6)</x:f>
        <x:v>0.12859832308453897</x:v>
      </x:c>
      <x:c r="K6" s="24" t="n">
        <x:f>IF(Bilateral_Trade!$P6=0,0,Bilateral_Trade!K6/Bilateral_Trade!$P6)</x:f>
        <x:v>0.0034899223602669273</x:v>
      </x:c>
      <x:c r="L6" s="24" t="n">
        <x:f>IF(Bilateral_Trade!$P6=0,0,Bilateral_Trade!L6/Bilateral_Trade!$P6)</x:f>
        <x:v>0.03674638866270279</x:v>
      </x:c>
      <x:c r="M6" s="24" t="n">
        <x:f>IF(Bilateral_Trade!$P6=0,0,Bilateral_Trade!M6/Bilateral_Trade!$P6)</x:f>
        <x:v>0.008202518792217246</x:v>
      </x:c>
      <x:c r="N6" s="24" t="n">
        <x:f>IF(Bilateral_Trade!$P6=0,0,Bilateral_Trade!N6/Bilateral_Trade!$P6)</x:f>
        <x:v>0.2443484152200031</x:v>
      </x:c>
      <x:c r="O6" s="24" t="n">
        <x:f>IF(Bilateral_Trade!$P6=0,0,Bilateral_Trade!O6/Bilateral_Trade!$P6)</x:f>
        <x:v>0.015626129509026608</x:v>
      </x:c>
      <x:c r="P6" s="24" t="n">
        <x:f>SUM(B6:O6)</x:f>
        <x:v>0.9999999999999999</x:v>
      </x:c>
      <x:c r="Q6" t="str">
        <x:f>IF(ABS(P6-1)&lt;0.0000001,"OK","CHECK")</x:f>
        <x:v>OK</x:v>
      </x:c>
    </x:row>
    <x:row r="7">
      <x:c r="A7" s="20" t="str">
        <x:v>EA</x:v>
      </x:c>
      <x:c r="B7" s="24" t="n">
        <x:f>IF(Bilateral_Trade!$P7=0,0,Bilateral_Trade!B7/Bilateral_Trade!$P7)</x:f>
        <x:v>0.016186076616086294</x:v>
      </x:c>
      <x:c r="C7" s="24" t="n">
        <x:f>IF(Bilateral_Trade!$P7=0,0,Bilateral_Trade!C7/Bilateral_Trade!$P7)</x:f>
        <x:v>0.02960709145528904</x:v>
      </x:c>
      <x:c r="D7" s="24" t="n">
        <x:f>IF(Bilateral_Trade!$P7=0,0,Bilateral_Trade!D7/Bilateral_Trade!$P7)</x:f>
        <x:v>0.020649894142856482</x:v>
      </x:c>
      <x:c r="E7" s="24" t="n">
        <x:f>IF(Bilateral_Trade!$P7=0,0,Bilateral_Trade!E7/Bilateral_Trade!$P7)</x:f>
        <x:v>0.1029200090985761</x:v>
      </x:c>
      <x:c r="F7" s="24" t="n">
        <x:f>IF(Bilateral_Trade!$P7=0,0,Bilateral_Trade!F7/Bilateral_Trade!$P7)</x:f>
        <x:v>0.14326180737626104</x:v>
      </x:c>
      <x:c r="G7" s="28" t="n">
        <x:f>0</x:f>
        <x:v>0</x:v>
      </x:c>
      <x:c r="H7" s="24" t="n">
        <x:f>IF(Bilateral_Trade!$P7=0,0,Bilateral_Trade!H7/Bilateral_Trade!$P7)</x:f>
        <x:v>0.2531666505059571</x:v>
      </x:c>
      <x:c r="I7" s="24" t="n">
        <x:f>IF(Bilateral_Trade!$P7=0,0,Bilateral_Trade!I7/Bilateral_Trade!$P7)</x:f>
        <x:v>0.06206344088429865</x:v>
      </x:c>
      <x:c r="J7" s="24" t="n">
        <x:f>IF(Bilateral_Trade!$P7=0,0,Bilateral_Trade!J7/Bilateral_Trade!$P7)</x:f>
        <x:v>0.030465173971790487</x:v>
      </x:c>
      <x:c r="K7" s="24" t="n">
        <x:f>IF(Bilateral_Trade!$P7=0,0,Bilateral_Trade!K7/Bilateral_Trade!$P7)</x:f>
        <x:v>0.04035644377032995</x:v>
      </x:c>
      <x:c r="L7" s="24" t="n">
        <x:f>IF(Bilateral_Trade!$P7=0,0,Bilateral_Trade!L7/Bilateral_Trade!$P7)</x:f>
        <x:v>0.018704193279650425</x:v>
      </x:c>
      <x:c r="M7" s="24" t="n">
        <x:f>IF(Bilateral_Trade!$P7=0,0,Bilateral_Trade!M7/Bilateral_Trade!$P7)</x:f>
        <x:v>0.04568457569932799</x:v>
      </x:c>
      <x:c r="N7" s="24" t="n">
        <x:f>IF(Bilateral_Trade!$P7=0,0,Bilateral_Trade!N7/Bilateral_Trade!$P7)</x:f>
        <x:v>0.21915004679457897</x:v>
      </x:c>
      <x:c r="O7" s="24" t="n">
        <x:f>IF(Bilateral_Trade!$P7=0,0,Bilateral_Trade!O7/Bilateral_Trade!$P7)</x:f>
        <x:v>0.017784596404997362</x:v>
      </x:c>
      <x:c r="P7" s="24" t="n">
        <x:f>SUM(B7:O7)</x:f>
        <x:v>0.9999999999999999</x:v>
      </x:c>
      <x:c r="Q7" t="str">
        <x:f>IF(ABS(P7-1)&lt;0.0000001,"OK","CHECK")</x:f>
        <x:v>OK</x:v>
      </x:c>
    </x:row>
    <x:row r="8">
      <x:c r="A8" s="20" t="str">
        <x:v>UK</x:v>
      </x:c>
      <x:c r="B8" s="24" t="n">
        <x:f>IF(Bilateral_Trade!$P8=0,0,Bilateral_Trade!B8/Bilateral_Trade!$P8)</x:f>
        <x:v>0.014688531194483267</x:v>
      </x:c>
      <x:c r="C8" s="24" t="n">
        <x:f>IF(Bilateral_Trade!$P8=0,0,Bilateral_Trade!C8/Bilateral_Trade!$P8)</x:f>
        <x:v>0.008286334882785228</x:v>
      </x:c>
      <x:c r="D8" s="24" t="n">
        <x:f>IF(Bilateral_Trade!$P8=0,0,Bilateral_Trade!D8/Bilateral_Trade!$P8)</x:f>
        <x:v>0.023564609614331253</x:v>
      </x:c>
      <x:c r="E8" s="24" t="n">
        <x:f>IF(Bilateral_Trade!$P8=0,0,Bilateral_Trade!E8/Bilateral_Trade!$P8)</x:f>
        <x:v>0.029778936071319952</x:v>
      </x:c>
      <x:c r="F8" s="24" t="n">
        <x:f>IF(Bilateral_Trade!$P8=0,0,Bilateral_Trade!F8/Bilateral_Trade!$P8)</x:f>
        <x:v>0.05678150430812388</x:v>
      </x:c>
      <x:c r="G8" s="24" t="n">
        <x:f>IF(Bilateral_Trade!$P8=0,0,Bilateral_Trade!G8/Bilateral_Trade!$P8)</x:f>
        <x:v>0.6019649741655787</x:v>
      </x:c>
      <x:c r="H8" s="28" t="n">
        <x:f>0</x:f>
        <x:v>0</x:v>
      </x:c>
      <x:c r="I8" s="24" t="n">
        <x:f>IF(Bilateral_Trade!$P8=0,0,Bilateral_Trade!I8/Bilateral_Trade!$P8)</x:f>
        <x:v>0.030101685708977123</x:v>
      </x:c>
      <x:c r="J8" s="24" t="n">
        <x:f>IF(Bilateral_Trade!$P8=0,0,Bilateral_Trade!J8/Bilateral_Trade!$P8)</x:f>
        <x:v>0.011613295056013143</x:v>
      </x:c>
      <x:c r="K8" s="24" t="n">
        <x:f>IF(Bilateral_Trade!$P8=0,0,Bilateral_Trade!K8/Bilateral_Trade!$P8)</x:f>
        <x:v>0.039063298122685844</x:v>
      </x:c>
      <x:c r="L8" s="24" t="n">
        <x:f>IF(Bilateral_Trade!$P8=0,0,Bilateral_Trade!L8/Bilateral_Trade!$P8)</x:f>
        <x:v>0.013011171102492437</x:v>
      </x:c>
      <x:c r="M8" s="24" t="n">
        <x:f>IF(Bilateral_Trade!$P8=0,0,Bilateral_Trade!M8/Bilateral_Trade!$P8)</x:f>
        <x:v>0.014659254183224774</x:v>
      </x:c>
      <x:c r="N8" s="24" t="n">
        <x:f>IF(Bilateral_Trade!$P8=0,0,Bilateral_Trade!N8/Bilateral_Trade!$P8)</x:f>
        <x:v>0.13993696152754498</x:v>
      </x:c>
      <x:c r="O8" s="24" t="n">
        <x:f>IF(Bilateral_Trade!$P8=0,0,Bilateral_Trade!O8/Bilateral_Trade!$P8)</x:f>
        <x:v>0.016549444062439547</x:v>
      </x:c>
      <x:c r="P8" s="24" t="n">
        <x:f>SUM(B8:O8)</x:f>
        <x:v>1</x:v>
      </x:c>
      <x:c r="Q8" t="str">
        <x:f>IF(ABS(P8-1)&lt;0.0000001,"OK","CHECK")</x:f>
        <x:v>OK</x:v>
      </x:c>
    </x:row>
    <x:row r="9">
      <x:c r="A9" s="20" t="str">
        <x:v>JP</x:v>
      </x:c>
      <x:c r="B9" s="24" t="n">
        <x:f>IF(Bilateral_Trade!$P9=0,0,Bilateral_Trade!B9/Bilateral_Trade!$P9)</x:f>
        <x:v>0.05965627419044905</x:v>
      </x:c>
      <x:c r="C9" s="24" t="n">
        <x:f>IF(Bilateral_Trade!$P9=0,0,Bilateral_Trade!C9/Bilateral_Trade!$P9)</x:f>
        <x:v>0.013582807569945001</x:v>
      </x:c>
      <x:c r="D9" s="24" t="n">
        <x:f>IF(Bilateral_Trade!$P9=0,0,Bilateral_Trade!D9/Bilateral_Trade!$P9)</x:f>
        <x:v>0.025083606136141405</x:v>
      </x:c>
      <x:c r="E9" s="24" t="n">
        <x:f>IF(Bilateral_Trade!$P9=0,0,Bilateral_Trade!E9/Bilateral_Trade!$P9)</x:f>
        <x:v>0.012466563032440028</x:v>
      </x:c>
      <x:c r="F9" s="24" t="n">
        <x:f>IF(Bilateral_Trade!$P9=0,0,Bilateral_Trade!F9/Bilateral_Trade!$P9)</x:f>
        <x:v>0.2826939098171933</x:v>
      </x:c>
      <x:c r="G9" s="24" t="n">
        <x:f>IF(Bilateral_Trade!$P9=0,0,Bilateral_Trade!G9/Bilateral_Trade!$P9)</x:f>
        <x:v>0.15312885301915458</x:v>
      </x:c>
      <x:c r="H9" s="24" t="n">
        <x:f>IF(Bilateral_Trade!$P9=0,0,Bilateral_Trade!H9/Bilateral_Trade!$P9)</x:f>
        <x:v>0.028490024641510465</x:v>
      </x:c>
      <x:c r="I9" s="28" t="n">
        <x:f>0</x:f>
        <x:v>0</x:v>
      </x:c>
      <x:c r="J9" s="24" t="n">
        <x:f>IF(Bilateral_Trade!$P9=0,0,Bilateral_Trade!J9/Bilateral_Trade!$P9)</x:f>
        <x:v>0.0989832194315879</x:v>
      </x:c>
      <x:c r="K9" s="24" t="n">
        <x:f>IF(Bilateral_Trade!$P9=0,0,Bilateral_Trade!K9/Bilateral_Trade!$P9)</x:f>
        <x:v>0.0036050133098376423</x:v>
      </x:c>
      <x:c r="L9" s="24" t="n">
        <x:f>IF(Bilateral_Trade!$P9=0,0,Bilateral_Trade!L9/Bilateral_Trade!$P9)</x:f>
        <x:v>0.03720331144886941</x:v>
      </x:c>
      <x:c r="M9" s="24" t="n">
        <x:f>IF(Bilateral_Trade!$P9=0,0,Bilateral_Trade!M9/Bilateral_Trade!$P9)</x:f>
        <x:v>0.003187812987755732</x:v>
      </x:c>
      <x:c r="N9" s="24" t="n">
        <x:f>IF(Bilateral_Trade!$P9=0,0,Bilateral_Trade!N9/Bilateral_Trade!$P9)</x:f>
        <x:v>0.26993290928564856</x:v>
      </x:c>
      <x:c r="O9" s="24" t="n">
        <x:f>IF(Bilateral_Trade!$P9=0,0,Bilateral_Trade!O9/Bilateral_Trade!$P9)</x:f>
        <x:v>0.011985695129466662</x:v>
      </x:c>
      <x:c r="P9" s="24" t="n">
        <x:f>SUM(B9:O9)</x:f>
        <x:v>0.9999999999999999</x:v>
      </x:c>
      <x:c r="Q9" t="str">
        <x:f>IF(ABS(P9-1)&lt;0.0000001,"OK","CHECK")</x:f>
        <x:v>OK</x:v>
      </x:c>
    </x:row>
    <x:row r="10">
      <x:c r="A10" s="20" t="str">
        <x:v>KR</x:v>
      </x:c>
      <x:c r="B10" s="24" t="n">
        <x:f>IF(Bilateral_Trade!$P10=0,0,Bilateral_Trade!B10/Bilateral_Trade!$P10)</x:f>
        <x:v>0.04496091171763237</x:v>
      </x:c>
      <x:c r="C10" s="24" t="n">
        <x:f>IF(Bilateral_Trade!$P10=0,0,Bilateral_Trade!C10/Bilateral_Trade!$P10)</x:f>
        <x:v>0.019216493332223437</x:v>
      </x:c>
      <x:c r="D10" s="24" t="n">
        <x:f>IF(Bilateral_Trade!$P10=0,0,Bilateral_Trade!D10/Bilateral_Trade!$P10)</x:f>
        <x:v>0.017208622040204964</x:v>
      </x:c>
      <x:c r="E10" s="24" t="n">
        <x:f>IF(Bilateral_Trade!$P10=0,0,Bilateral_Trade!E10/Bilateral_Trade!$P10)</x:f>
        <x:v>0.0054243858023020446</x:v>
      </x:c>
      <x:c r="F10" s="24" t="n">
        <x:f>IF(Bilateral_Trade!$P10=0,0,Bilateral_Trade!F10/Bilateral_Trade!$P10)</x:f>
        <x:v>0.30158606168696495</x:v>
      </x:c>
      <x:c r="G10" s="24" t="n">
        <x:f>IF(Bilateral_Trade!$P10=0,0,Bilateral_Trade!G10/Bilateral_Trade!$P10)</x:f>
        <x:v>0.14315839620700127</x:v>
      </x:c>
      <x:c r="H10" s="24" t="n">
        <x:f>IF(Bilateral_Trade!$P10=0,0,Bilateral_Trade!H10/Bilateral_Trade!$P10)</x:f>
        <x:v>0.0215450701387826</x:v>
      </x:c>
      <x:c r="I10" s="24" t="n">
        <x:f>IF(Bilateral_Trade!$P10=0,0,Bilateral_Trade!I10/Bilateral_Trade!$P10)</x:f>
        <x:v>0.18822337336070172</x:v>
      </x:c>
      <x:c r="J10" s="28" t="n">
        <x:f>0</x:f>
        <x:v>0</x:v>
      </x:c>
      <x:c r="K10" s="24" t="n">
        <x:f>IF(Bilateral_Trade!$P10=0,0,Bilateral_Trade!K10/Bilateral_Trade!$P10)</x:f>
        <x:v>0.006756614247058197</x:v>
      </x:c>
      <x:c r="L10" s="24" t="n">
        <x:f>IF(Bilateral_Trade!$P10=0,0,Bilateral_Trade!L10/Bilateral_Trade!$P10)</x:f>
        <x:v>0.043451373038856184</x:v>
      </x:c>
      <x:c r="M10" s="24" t="n">
        <x:f>IF(Bilateral_Trade!$P10=0,0,Bilateral_Trade!M10/Bilateral_Trade!$P10)</x:f>
        <x:v>0.007868945806414111</x:v>
      </x:c>
      <x:c r="N10" s="24" t="n">
        <x:f>IF(Bilateral_Trade!$P10=0,0,Bilateral_Trade!N10/Bilateral_Trade!$P10)</x:f>
        <x:v>0.19366333047144002</x:v>
      </x:c>
      <x:c r="O10" s="24" t="n">
        <x:f>IF(Bilateral_Trade!$P10=0,0,Bilateral_Trade!O10/Bilateral_Trade!$P10)</x:f>
        <x:v>0.006936422150418063</x:v>
      </x:c>
      <x:c r="P10" s="24" t="n">
        <x:f>SUM(B10:O10)</x:f>
        <x:v>0.9999999999999998</x:v>
      </x:c>
      <x:c r="Q10" t="str">
        <x:f>IF(ABS(P10-1)&lt;0.0000001,"OK","CHECK")</x:f>
        <x:v>OK</x:v>
      </x:c>
    </x:row>
    <x:row r="11">
      <x:c r="A11" s="20" t="str">
        <x:v>NO</x:v>
      </x:c>
      <x:c r="B11" s="24" t="n">
        <x:f>IF(Bilateral_Trade!$P11=0,0,Bilateral_Trade!B11/Bilateral_Trade!$P11)</x:f>
        <x:v>0.002362679294474805</x:v>
      </x:c>
      <x:c r="C11" s="24" t="n">
        <x:f>IF(Bilateral_Trade!$P11=0,0,Bilateral_Trade!C11/Bilateral_Trade!$P11)</x:f>
        <x:v>0.009044090360564172</x:v>
      </x:c>
      <x:c r="D11" s="24" t="n">
        <x:f>IF(Bilateral_Trade!$P11=0,0,Bilateral_Trade!D11/Bilateral_Trade!$P11)</x:f>
        <x:v>0.035973855039834426</x:v>
      </x:c>
      <x:c r="E11" s="24" t="n">
        <x:f>IF(Bilateral_Trade!$P11=0,0,Bilateral_Trade!E11/Bilateral_Trade!$P11)</x:f>
        <x:v>0.009516602821227732</x:v>
      </x:c>
      <x:c r="F11" s="24" t="n">
        <x:f>IF(Bilateral_Trade!$P11=0,0,Bilateral_Trade!F11/Bilateral_Trade!$P11)</x:f>
        <x:v>0.04259089683522406</x:v>
      </x:c>
      <x:c r="G11" s="24" t="n">
        <x:f>IF(Bilateral_Trade!$P11=0,0,Bilateral_Trade!G11/Bilateral_Trade!$P11)</x:f>
        <x:v>0.5267547472756461</x:v>
      </x:c>
      <x:c r="H11" s="24" t="n">
        <x:f>IF(Bilateral_Trade!$P11=0,0,Bilateral_Trade!H11/Bilateral_Trade!$P11)</x:f>
        <x:v>0.24141820080791654</x:v>
      </x:c>
      <x:c r="I11" s="24" t="n">
        <x:f>IF(Bilateral_Trade!$P11=0,0,Bilateral_Trade!I11/Bilateral_Trade!$P11)</x:f>
        <x:v>0.02167843686858159</x:v>
      </x:c>
      <x:c r="J11" s="24" t="n">
        <x:f>IF(Bilateral_Trade!$P11=0,0,Bilateral_Trade!J11/Bilateral_Trade!$P11)</x:f>
        <x:v>0.01745164239665327</x:v>
      </x:c>
      <x:c r="K11" s="28" t="n">
        <x:f>0</x:f>
        <x:v>0</x:v>
      </x:c>
      <x:c r="L11" s="24" t="n">
        <x:f>IF(Bilateral_Trade!$P11=0,0,Bilateral_Trade!L11/Bilateral_Trade!$P11)</x:f>
        <x:v>0.007642697209346237</x:v>
      </x:c>
      <x:c r="M11" s="24" t="n">
        <x:f>IF(Bilateral_Trade!$P11=0,0,Bilateral_Trade!M11/Bilateral_Trade!$P11)</x:f>
        <x:v>0.006903679314800264</x:v>
      </x:c>
      <x:c r="N11" s="24" t="n">
        <x:f>IF(Bilateral_Trade!$P11=0,0,Bilateral_Trade!N11/Bilateral_Trade!$P11)</x:f>
        <x:v>0.07628362124923452</x:v>
      </x:c>
      <x:c r="O11" s="24" t="n">
        <x:f>IF(Bilateral_Trade!$P11=0,0,Bilateral_Trade!O11/Bilateral_Trade!$P11)</x:f>
        <x:v>0.002378850526496348</x:v>
      </x:c>
      <x:c r="P11" s="24" t="n">
        <x:f>SUM(B11:O11)</x:f>
        <x:v>1</x:v>
      </x:c>
      <x:c r="Q11" t="str">
        <x:f>IF(ABS(P11-1)&lt;0.0000001,"OK","CHECK")</x:f>
        <x:v>OK</x:v>
      </x:c>
    </x:row>
    <x:row r="12">
      <x:c r="A12" s="20" t="str">
        <x:v>SG</x:v>
      </x:c>
      <x:c r="B12" s="24" t="n">
        <x:f>IF(Bilateral_Trade!$P12=0,0,Bilateral_Trade!B12/Bilateral_Trade!$P12)</x:f>
        <x:v>0.05496045308763645</x:v>
      </x:c>
      <x:c r="C12" s="24" t="n">
        <x:f>IF(Bilateral_Trade!$P12=0,0,Bilateral_Trade!C12/Bilateral_Trade!$P12)</x:f>
        <x:v>0.008030433183631176</x:v>
      </x:c>
      <x:c r="D12" s="24" t="n">
        <x:f>IF(Bilateral_Trade!$P12=0,0,Bilateral_Trade!D12/Bilateral_Trade!$P12)</x:f>
        <x:v>0.008464043943882591</x:v>
      </x:c>
      <x:c r="E12" s="24" t="n">
        <x:f>IF(Bilateral_Trade!$P12=0,0,Bilateral_Trade!E12/Bilateral_Trade!$P12)</x:f>
        <x:v>0.015410592416160936</x:v>
      </x:c>
      <x:c r="F12" s="24" t="n">
        <x:f>IF(Bilateral_Trade!$P12=0,0,Bilateral_Trade!F12/Bilateral_Trade!$P12)</x:f>
        <x:v>0.20223930446515845</x:v>
      </x:c>
      <x:c r="G12" s="24" t="n">
        <x:f>IF(Bilateral_Trade!$P12=0,0,Bilateral_Trade!G12/Bilateral_Trade!$P12)</x:f>
        <x:v>0.18969234741454796</x:v>
      </x:c>
      <x:c r="H12" s="24" t="n">
        <x:f>IF(Bilateral_Trade!$P12=0,0,Bilateral_Trade!H12/Bilateral_Trade!$P12)</x:f>
        <x:v>0.0428300674805901</x:v>
      </x:c>
      <x:c r="I12" s="24" t="n">
        <x:f>IF(Bilateral_Trade!$P12=0,0,Bilateral_Trade!I12/Bilateral_Trade!$P12)</x:f>
        <x:v>0.14920642012748764</x:v>
      </x:c>
      <x:c r="J12" s="24" t="n">
        <x:f>IF(Bilateral_Trade!$P12=0,0,Bilateral_Trade!J12/Bilateral_Trade!$P12)</x:f>
        <x:v>0.09483333043029905</x:v>
      </x:c>
      <x:c r="K12" s="24" t="n">
        <x:f>IF(Bilateral_Trade!$P12=0,0,Bilateral_Trade!K12/Bilateral_Trade!$P12)</x:f>
        <x:v>0.004801062929163947</x:v>
      </x:c>
      <x:c r="L12" s="28" t="n">
        <x:f>0</x:f>
        <x:v>0</x:v>
      </x:c>
      <x:c r="M12" s="24" t="n">
        <x:f>IF(Bilateral_Trade!$P12=0,0,Bilateral_Trade!M12/Bilateral_Trade!$P12)</x:f>
        <x:v>0.002982379865226863</x:v>
      </x:c>
      <x:c r="N12" s="24" t="n">
        <x:f>IF(Bilateral_Trade!$P12=0,0,Bilateral_Trade!N12/Bilateral_Trade!$P12)</x:f>
        <x:v>0.22130192569311768</x:v>
      </x:c>
      <x:c r="O12" s="24" t="n">
        <x:f>IF(Bilateral_Trade!$P12=0,0,Bilateral_Trade!O12/Bilateral_Trade!$P12)</x:f>
        <x:v>0.0052476389630971764</x:v>
      </x:c>
      <x:c r="P12" s="24" t="n">
        <x:f>SUM(B12:O12)</x:f>
        <x:v>1</x:v>
      </x:c>
      <x:c r="Q12" t="str">
        <x:f>IF(ABS(P12-1)&lt;0.0000001,"OK","CHECK")</x:f>
        <x:v>OK</x:v>
      </x:c>
    </x:row>
    <x:row r="13">
      <x:c r="A13" s="20" t="str">
        <x:v>TR</x:v>
      </x:c>
      <x:c r="B13" s="24" t="n">
        <x:f>IF(Bilateral_Trade!$P13=0,0,Bilateral_Trade!B13/Bilateral_Trade!$P13)</x:f>
        <x:v>0.005845974682433928</x:v>
      </x:c>
      <x:c r="C13" s="24" t="n">
        <x:f>IF(Bilateral_Trade!$P13=0,0,Bilateral_Trade!C13/Bilateral_Trade!$P13)</x:f>
        <x:v>0.01019950592421369</x:v>
      </x:c>
      <x:c r="D13" s="24" t="n">
        <x:f>IF(Bilateral_Trade!$P13=0,0,Bilateral_Trade!D13/Bilateral_Trade!$P13)</x:f>
        <x:v>0.0089858050603299</x:v>
      </x:c>
      <x:c r="E13" s="24" t="n">
        <x:f>IF(Bilateral_Trade!$P13=0,0,Bilateral_Trade!E13/Bilateral_Trade!$P13)</x:f>
        <x:v>0.03783448932735315</x:v>
      </x:c>
      <x:c r="F13" s="24" t="n">
        <x:f>IF(Bilateral_Trade!$P13=0,0,Bilateral_Trade!F13/Bilateral_Trade!$P13)</x:f>
        <x:v>0.08964293473094186</x:v>
      </x:c>
      <x:c r="G13" s="24" t="n">
        <x:f>IF(Bilateral_Trade!$P13=0,0,Bilateral_Trade!G13/Bilateral_Trade!$P13)</x:f>
        <x:v>0.5919030452319453</x:v>
      </x:c>
      <x:c r="H13" s="24" t="n">
        <x:f>IF(Bilateral_Trade!$P13=0,0,Bilateral_Trade!H13/Bilateral_Trade!$P13)</x:f>
        <x:v>0.08201562546485018</x:v>
      </x:c>
      <x:c r="I13" s="24" t="n">
        <x:f>IF(Bilateral_Trade!$P13=0,0,Bilateral_Trade!I13/Bilateral_Trade!$P13)</x:f>
        <x:v>0.024994416372740746</x:v>
      </x:c>
      <x:c r="J13" s="24" t="n">
        <x:f>IF(Bilateral_Trade!$P13=0,0,Bilateral_Trade!J13/Bilateral_Trade!$P13)</x:f>
        <x:v>0.02797071404921145</x:v>
      </x:c>
      <x:c r="K13" s="24" t="n">
        <x:f>IF(Bilateral_Trade!$P13=0,0,Bilateral_Trade!K13/Bilateral_Trade!$P13)</x:f>
        <x:v>0.006599189721657741</x:v>
      </x:c>
      <x:c r="L13" s="24" t="n">
        <x:f>IF(Bilateral_Trade!$P13=0,0,Bilateral_Trade!L13/Bilateral_Trade!$P13)</x:f>
        <x:v>0.00440250329615739</x:v>
      </x:c>
      <x:c r="M13" s="28" t="n">
        <x:f>0</x:f>
        <x:v>0</x:v>
      </x:c>
      <x:c r="N13" s="24" t="n">
        <x:f>IF(Bilateral_Trade!$P13=0,0,Bilateral_Trade!N13/Bilateral_Trade!$P13)</x:f>
        <x:v>0.0973987944700786</x:v>
      </x:c>
      <x:c r="O13" s="24" t="n">
        <x:f>IF(Bilateral_Trade!$P13=0,0,Bilateral_Trade!O13/Bilateral_Trade!$P13)</x:f>
        <x:v>0.012207001668086038</x:v>
      </x:c>
      <x:c r="P13" s="24" t="n">
        <x:f>SUM(B13:O13)</x:f>
        <x:v>1</x:v>
      </x:c>
      <x:c r="Q13" t="str">
        <x:f>IF(ABS(P13-1)&lt;0.0000001,"OK","CHECK")</x:f>
        <x:v>OK</x:v>
      </x:c>
    </x:row>
    <x:row r="14">
      <x:c r="A14" s="20" t="str">
        <x:v>US</x:v>
      </x:c>
      <x:c r="B14" s="24" t="n">
        <x:f>IF(Bilateral_Trade!$P14=0,0,Bilateral_Trade!B14/Bilateral_Trade!$P14)</x:f>
        <x:v>0.015273090726925984</x:v>
      </x:c>
      <x:c r="C14" s="24" t="n">
        <x:f>IF(Bilateral_Trade!$P14=0,0,Bilateral_Trade!C14/Bilateral_Trade!$P14)</x:f>
        <x:v>0.027287597905714105</x:v>
      </x:c>
      <x:c r="D14" s="24" t="n">
        <x:f>IF(Bilateral_Trade!$P14=0,0,Bilateral_Trade!D14/Bilateral_Trade!$P14)</x:f>
        <x:v>0.2810420548538885</x:v>
      </x:c>
      <x:c r="E14" s="24" t="n">
        <x:f>IF(Bilateral_Trade!$P14=0,0,Bilateral_Trade!E14/Bilateral_Trade!$P14)</x:f>
        <x:v>0.017614570101196308</x:v>
      </x:c>
      <x:c r="F14" s="24" t="n">
        <x:f>IF(Bilateral_Trade!$P14=0,0,Bilateral_Trade!F14/Bilateral_Trade!$P14)</x:f>
        <x:v>0.18614945383127782</x:v>
      </x:c>
      <x:c r="G14" s="24" t="n">
        <x:f>IF(Bilateral_Trade!$P14=0,0,Bilateral_Trade!G14/Bilateral_Trade!$P14)</x:f>
        <x:v>0.22245898056851415</x:v>
      </x:c>
      <x:c r="H14" s="24" t="n">
        <x:f>IF(Bilateral_Trade!$P14=0,0,Bilateral_Trade!H14/Bilateral_Trade!$P14)</x:f>
        <x:v>0.05400161431853788</x:v>
      </x:c>
      <x:c r="I14" s="24" t="n">
        <x:f>IF(Bilateral_Trade!$P14=0,0,Bilateral_Trade!I14/Bilateral_Trade!$P14)</x:f>
        <x:v>0.11058920753001635</x:v>
      </x:c>
      <x:c r="J14" s="24" t="n">
        <x:f>IF(Bilateral_Trade!$P14=0,0,Bilateral_Trade!J14/Bilateral_Trade!$P14)</x:f>
        <x:v>0.044194110954303124</x:v>
      </x:c>
      <x:c r="K14" s="24" t="n">
        <x:f>IF(Bilateral_Trade!$P14=0,0,Bilateral_Trade!K14/Bilateral_Trade!$P14)</x:f>
        <x:v>0.005232121258590151</x:v>
      </x:c>
      <x:c r="L14" s="24" t="n">
        <x:f>IF(Bilateral_Trade!$P14=0,0,Bilateral_Trade!L14/Bilateral_Trade!$P14)</x:f>
        <x:v>0.023026195200245948</x:v>
      </x:c>
      <x:c r="M14" s="24" t="n">
        <x:f>IF(Bilateral_Trade!$P14=0,0,Bilateral_Trade!M14/Bilateral_Trade!$P14)</x:f>
        <x:v>0.006540979063184665</x:v>
      </x:c>
      <x:c r="N14" s="28" t="n">
        <x:f>0</x:f>
        <x:v>0</x:v>
      </x:c>
      <x:c r="O14" s="24" t="n">
        <x:f>IF(Bilateral_Trade!$P14=0,0,Bilateral_Trade!O14/Bilateral_Trade!$P14)</x:f>
        <x:v>0.006590023687605171</x:v>
      </x:c>
      <x:c r="P14" s="24" t="n">
        <x:f>SUM(B14:O14)</x:f>
        <x:v>1.0000000000000002</x:v>
      </x:c>
      <x:c r="Q14" t="str">
        <x:f>IF(ABS(P14-1)&lt;0.0000001,"OK","CHECK")</x:f>
        <x:v>OK</x:v>
      </x:c>
    </x:row>
    <x:row r="15">
      <x:c r="A15" s="20" t="str">
        <x:v>ZA</x:v>
      </x:c>
      <x:c r="B15" s="24" t="n">
        <x:f>IF(Bilateral_Trade!$P15=0,0,Bilateral_Trade!B15/Bilateral_Trade!$P15)</x:f>
        <x:v>0.027685056910326175</x:v>
      </x:c>
      <x:c r="C15" s="24" t="n">
        <x:f>IF(Bilateral_Trade!$P15=0,0,Bilateral_Trade!C15/Bilateral_Trade!$P15)</x:f>
        <x:v>0.021349366352387118</x:v>
      </x:c>
      <x:c r="D15" s="24" t="n">
        <x:f>IF(Bilateral_Trade!$P15=0,0,Bilateral_Trade!D15/Bilateral_Trade!$P15)</x:f>
        <x:v>0.015121263756330106</x:v>
      </x:c>
      <x:c r="E15" s="24" t="n">
        <x:f>IF(Bilateral_Trade!$P15=0,0,Bilateral_Trade!E15/Bilateral_Trade!$P15)</x:f>
        <x:v>0.028199438133631162</x:v>
      </x:c>
      <x:c r="F15" s="24" t="n">
        <x:f>IF(Bilateral_Trade!$P15=0,0,Bilateral_Trade!F15/Bilateral_Trade!$P15)</x:f>
        <x:v>0.14674644581370183</x:v>
      </x:c>
      <x:c r="G15" s="24" t="n">
        <x:f>IF(Bilateral_Trade!$P15=0,0,Bilateral_Trade!G15/Bilateral_Trade!$P15)</x:f>
        <x:v>0.366891227348929</x:v>
      </x:c>
      <x:c r="H15" s="24" t="n">
        <x:f>IF(Bilateral_Trade!$P15=0,0,Bilateral_Trade!H15/Bilateral_Trade!$P15)</x:f>
        <x:v>0.08990878155379742</x:v>
      </x:c>
      <x:c r="I15" s="24" t="n">
        <x:f>IF(Bilateral_Trade!$P15=0,0,Bilateral_Trade!I15/Bilateral_Trade!$P15)</x:f>
        <x:v>0.10959277971773729</x:v>
      </x:c>
      <x:c r="J15" s="24" t="n">
        <x:f>IF(Bilateral_Trade!$P15=0,0,Bilateral_Trade!J15/Bilateral_Trade!$P15)</x:f>
        <x:v>0.03108040368033468</x:v>
      </x:c>
      <x:c r="K15" s="24" t="n">
        <x:f>IF(Bilateral_Trade!$P15=0,0,Bilateral_Trade!K15/Bilateral_Trade!$P15)</x:f>
        <x:v>0.002886457459986524</x:v>
      </x:c>
      <x:c r="L15" s="24" t="n">
        <x:f>IF(Bilateral_Trade!$P15=0,0,Bilateral_Trade!L15/Bilateral_Trade!$P15)</x:f>
        <x:v>0.013378286871605973</x:v>
      </x:c>
      <x:c r="M15" s="24" t="n">
        <x:f>IF(Bilateral_Trade!$P15=0,0,Bilateral_Trade!M15/Bilateral_Trade!$P15)</x:f>
        <x:v>0.008498419488102088</x:v>
      </x:c>
      <x:c r="N15" s="24" t="n">
        <x:f>IF(Bilateral_Trade!$P15=0,0,Bilateral_Trade!N15/Bilateral_Trade!$P15)</x:f>
        <x:v>0.13866207291313062</x:v>
      </x:c>
      <x:c r="O15" s="28" t="n">
        <x:f>0</x:f>
        <x:v>0</x:v>
      </x:c>
      <x:c r="P15" s="24" t="n">
        <x:f>SUM(B15:O15)</x:f>
        <x:v>1</x:v>
      </x:c>
      <x:c r="Q15" t="str">
        <x:f>IF(ABS(P15-1)&lt;0.0000001,"OK","CHECK")</x:f>
        <x:v>OK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6" t="str">
        <x:v>Check item</x:v>
      </x:c>
      <x:c r="B1" s="16" t="str">
        <x:v>Imports</x:v>
      </x:c>
      <x:c r="C1" s="16" t="str">
        <x:v>Exports</x:v>
      </x:c>
      <x:c r="D1" s="16" t="str">
        <x:v>Status</x:v>
      </x:c>
    </x:row>
    <x:row r="2">
      <x:c r="A2" t="str">
        <x:v>Downloaded series</x:v>
      </x:c>
      <x:c r="B2" t="n">
        <x:v>183</x:v>
      </x:c>
      <x:c r="C2" t="n">
        <x:v>183</x:v>
      </x:c>
      <x:c r="D2" t="str">
        <x:v>OK</x:v>
      </x:c>
    </x:row>
    <x:row r="3">
      <x:c r="A3" t="str">
        <x:v>Economies</x:v>
      </x:c>
      <x:c r="B3" t="n">
        <x:v>14</x:v>
      </x:c>
      <x:c r="C3" t="n">
        <x:v>14</x:v>
      </x:c>
      <x:c r="D3" t="str">
        <x:v>OK</x:v>
      </x:c>
    </x:row>
    <x:row r="4">
      <x:c r="A4" t="str">
        <x:v>Missing values in 2000–2012</x:v>
      </x:c>
      <x:c r="B4" t="n">
        <x:v>0</x:v>
      </x:c>
      <x:c r="C4" t="n">
        <x:v>0</x:v>
      </x:c>
      <x:c r="D4" t="str">
        <x:v>OK</x:v>
      </x:c>
    </x:row>
    <x:row r="5">
      <x:c r="A5" t="str">
        <x:v>Years used</x:v>
      </x:c>
      <x:c r="B5" t="n">
        <x:v>13</x:v>
      </x:c>
      <x:c r="C5" t="n">
        <x:v>13</x:v>
      </x:c>
      <x:c r="D5" t="str">
        <x:v>2000–2012</x:v>
      </x:c>
    </x:row>
    <x:row r="6">
      <x:c r="A6" t="str">
        <x:v>2013–2014 used?</x:v>
      </x:c>
      <x:c r="B6" t="str">
        <x:v>No</x:v>
      </x:c>
      <x:c r="C6" t="str">
        <x:v>No</x:v>
      </x:c>
      <x:c r="D6" t="str">
        <x:v>Excluded</x:v>
      </x:c>
    </x:row>
    <x:row r="8">
      <x:c r="A8" s="9" t="str">
        <x:v>Year</x:v>
      </x:c>
      <x:c r="B8" s="9" t="str">
        <x:v>Import missing</x:v>
      </x:c>
      <x:c r="C8" s="9" t="str">
        <x:v>Export missing</x:v>
      </x:c>
      <x:c r="D8" s="9" t="str">
        <x:v>Status</x:v>
      </x:c>
    </x:row>
    <x:row r="9">
      <x:c r="A9" t="n">
        <x:v>2000</x:v>
      </x:c>
      <x:c r="B9" t="n">
        <x:v>0</x:v>
      </x:c>
      <x:c r="C9" t="n">
        <x:v>0</x:v>
      </x:c>
      <x:c r="D9" t="str">
        <x:v>OK</x:v>
      </x:c>
    </x:row>
    <x:row r="10">
      <x:c r="A10" t="n">
        <x:v>2001</x:v>
      </x:c>
      <x:c r="B10" t="n">
        <x:v>0</x:v>
      </x:c>
      <x:c r="C10" t="n">
        <x:v>0</x:v>
      </x:c>
      <x:c r="D10" t="str">
        <x:v>OK</x:v>
      </x:c>
    </x:row>
    <x:row r="11">
      <x:c r="A11" t="n">
        <x:v>2002</x:v>
      </x:c>
      <x:c r="B11" t="n">
        <x:v>0</x:v>
      </x:c>
      <x:c r="C11" t="n">
        <x:v>0</x:v>
      </x:c>
      <x:c r="D11" t="str">
        <x:v>OK</x:v>
      </x:c>
    </x:row>
    <x:row r="12">
      <x:c r="A12" t="n">
        <x:v>2003</x:v>
      </x:c>
      <x:c r="B12" t="n">
        <x:v>0</x:v>
      </x:c>
      <x:c r="C12" t="n">
        <x:v>0</x:v>
      </x:c>
      <x:c r="D12" t="str">
        <x:v>OK</x:v>
      </x:c>
    </x:row>
    <x:row r="13">
      <x:c r="A13" t="n">
        <x:v>2004</x:v>
      </x:c>
      <x:c r="B13" t="n">
        <x:v>0</x:v>
      </x:c>
      <x:c r="C13" t="n">
        <x:v>0</x:v>
      </x:c>
      <x:c r="D13" t="str">
        <x:v>OK</x:v>
      </x:c>
    </x:row>
    <x:row r="14">
      <x:c r="A14" t="n">
        <x:v>2005</x:v>
      </x:c>
      <x:c r="B14" t="n">
        <x:v>0</x:v>
      </x:c>
      <x:c r="C14" t="n">
        <x:v>0</x:v>
      </x:c>
      <x:c r="D14" t="str">
        <x:v>OK</x:v>
      </x:c>
    </x:row>
    <x:row r="15">
      <x:c r="A15" t="n">
        <x:v>2006</x:v>
      </x:c>
      <x:c r="B15" t="n">
        <x:v>0</x:v>
      </x:c>
      <x:c r="C15" t="n">
        <x:v>0</x:v>
      </x:c>
      <x:c r="D15" t="str">
        <x:v>OK</x:v>
      </x:c>
    </x:row>
    <x:row r="16">
      <x:c r="A16" t="n">
        <x:v>2007</x:v>
      </x:c>
      <x:c r="B16" t="n">
        <x:v>0</x:v>
      </x:c>
      <x:c r="C16" t="n">
        <x:v>0</x:v>
      </x:c>
      <x:c r="D16" t="str">
        <x:v>OK</x:v>
      </x:c>
    </x:row>
    <x:row r="17">
      <x:c r="A17" t="n">
        <x:v>2008</x:v>
      </x:c>
      <x:c r="B17" t="n">
        <x:v>0</x:v>
      </x:c>
      <x:c r="C17" t="n">
        <x:v>0</x:v>
      </x:c>
      <x:c r="D17" t="str">
        <x:v>OK</x:v>
      </x:c>
    </x:row>
    <x:row r="18">
      <x:c r="A18" t="n">
        <x:v>2009</x:v>
      </x:c>
      <x:c r="B18" t="n">
        <x:v>0</x:v>
      </x:c>
      <x:c r="C18" t="n">
        <x:v>0</x:v>
      </x:c>
      <x:c r="D18" t="str">
        <x:v>OK</x:v>
      </x:c>
    </x:row>
    <x:row r="19">
      <x:c r="A19" t="n">
        <x:v>2010</x:v>
      </x:c>
      <x:c r="B19" t="n">
        <x:v>0</x:v>
      </x:c>
      <x:c r="C19" t="n">
        <x:v>0</x:v>
      </x:c>
      <x:c r="D19" t="str">
        <x:v>OK</x:v>
      </x:c>
    </x:row>
    <x:row r="20">
      <x:c r="A20" t="n">
        <x:v>2011</x:v>
      </x:c>
      <x:c r="B20" t="n">
        <x:v>0</x:v>
      </x:c>
      <x:c r="C20" t="n">
        <x:v>0</x:v>
      </x:c>
      <x:c r="D20" t="str">
        <x:v>OK</x:v>
      </x:c>
    </x:row>
    <x:row r="21">
      <x:c r="A21" t="n">
        <x:v>2012</x:v>
      </x:c>
      <x:c r="B21" t="n">
        <x:v>0</x:v>
      </x:c>
      <x:c r="C21" t="n">
        <x:v>0</x:v>
      </x:c>
      <x:c r="D21" t="str">
        <x:v>OK</x:v>
      </x:c>
    </x:row>
  </x:sheetData>
  <x:pageMargins left="0.7" right="0.7" top="0.75" bottom="0.75" header="0.3" footer="0.3"/>
</x:worksheet>
</file>