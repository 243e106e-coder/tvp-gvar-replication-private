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b9ba4e12f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_EPU" sheetId="1" r:id="R76f1d9f410804e00"/>
    <x:sheet xmlns:r="http://schemas.openxmlformats.org/officeDocument/2006/relationships" name="Monthly_Source" sheetId="2" r:id="Rae0adca7bfc84af1"/>
    <x:sheet xmlns:r="http://schemas.openxmlformats.org/officeDocument/2006/relationships" name="Methodology" sheetId="3" r:id="R94bae04f2ba3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04A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29a10f9d542a4" /><Relationship Type="http://schemas.openxmlformats.org/officeDocument/2006/relationships/theme" Target="/xl/theme/theme1.xml" Id="R34fcf3b3f3be44ea" /><Relationship Type="http://schemas.openxmlformats.org/officeDocument/2006/relationships/sharedStrings" Target="/xl/sharedStrings.xml" Id="R94071e027baf40b1" /><Relationship Type="http://schemas.openxmlformats.org/officeDocument/2006/relationships/worksheet" Target="/xl/worksheets/sheet1.xml" Id="R76f1d9f410804e00" /><Relationship Type="http://schemas.openxmlformats.org/officeDocument/2006/relationships/worksheet" Target="/xl/worksheets/sheet2.xml" Id="Rae0adca7bfc84af1" /><Relationship Type="http://schemas.openxmlformats.org/officeDocument/2006/relationships/worksheet" Target="/xl/worksheets/sheet3.xml" Id="R94bae04f2ba347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9" hidden="0" customWidth="1"/>
    <x:col min="5" max="5" width="29" hidden="0" customWidth="1"/>
    <x:col min="6" max="6" width="20" hidden="0" customWidth="1"/>
    <x:col min="7" max="7" width="37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Year</x:v>
      </x:c>
      <x:c r="B1" s="5" t="str">
        <x:v>Quarter</x:v>
      </x:c>
      <x:c r="C1" s="5" t="str">
        <x:v>Period</x:v>
      </x:c>
      <x:c r="D1" s="5" t="str">
        <x:v>GEPU_current (quarterly mean)</x:v>
      </x:c>
      <x:c r="E1" s="5" t="str">
        <x:v>GEPU_ppp (quarterly mean)</x:v>
      </x:c>
      <x:c r="F1" s="5" t="str">
        <x:v>Months available</x:v>
      </x:c>
      <x:c r="G1" s="5" t="str">
        <x:v>Completeness</x:v>
      </x:c>
      <x:c r="H1" s="5" t="str">
        <x:v>Quarter start</x:v>
      </x:c>
      <x:c r="I1" s="5" t="str">
        <x:v>Quarter end</x:v>
      </x:c>
    </x:row>
    <x:row r="2">
      <x:c r="A2" t="n">
        <x:v>1997</x:v>
      </x:c>
      <x:c r="B2" t="n">
        <x:v>1</x:v>
      </x:c>
      <x:c r="C2" t="str">
        <x:v>1997Q1</x:v>
      </x:c>
      <x:c r="D2" s="2" t="n">
        <x:f>IF(F2=0,"",SUMIF(Monthly_Source!$E$2:$E$356,$C2,Monthly_Source!$C$2:$C$356)/F2)</x:f>
        <x:v>74.77018651008112</x:v>
      </x:c>
      <x:c r="E2" s="2" t="n">
        <x:f>IF(F2=0,"",SUMIF(Monthly_Source!$E$2:$E$356,$C2,Monthly_Source!$D$2:$D$356)/F2)</x:f>
        <x:v>76.31605920122922</x:v>
      </x:c>
      <x:c r="F2" t="n">
        <x:f>COUNTIF(Monthly_Source!$E$2:$E$356,$C2)</x:f>
        <x:v>3</x:v>
      </x:c>
      <x:c r="G2" t="str">
        <x:f>IF(F2=3,"Complete","Incomplete - exclude from estimation")</x:f>
        <x:v>Complete</x:v>
      </x:c>
      <x:c r="H2" t="str">
        <x:v>1997-01-01</x:v>
      </x:c>
      <x:c r="I2" t="str">
        <x:v>1997-03-end</x:v>
      </x:c>
    </x:row>
    <x:row r="3">
      <x:c r="A3" t="n">
        <x:v>1997</x:v>
      </x:c>
      <x:c r="B3" t="n">
        <x:v>2</x:v>
      </x:c>
      <x:c r="C3" t="str">
        <x:v>1997Q2</x:v>
      </x:c>
      <x:c r="D3" s="2" t="n">
        <x:f>IF(F3=0,"",SUMIF(Monthly_Source!$E$2:$E$356,$C3,Monthly_Source!$C$2:$C$356)/F3)</x:f>
        <x:v>77.46307371260542</x:v>
      </x:c>
      <x:c r="E3" s="2" t="n">
        <x:f>IF(F3=0,"",SUMIF(Monthly_Source!$E$2:$E$356,$C3,Monthly_Source!$D$2:$D$356)/F3)</x:f>
        <x:v>82.05571903452788</x:v>
      </x:c>
      <x:c r="F3" t="n">
        <x:f>COUNTIF(Monthly_Source!$E$2:$E$356,$C3)</x:f>
        <x:v>3</x:v>
      </x:c>
      <x:c r="G3" t="str">
        <x:f>IF(F3=3,"Complete","Incomplete - exclude from estimation")</x:f>
        <x:v>Complete</x:v>
      </x:c>
      <x:c r="H3" t="str">
        <x:v>1997-04-01</x:v>
      </x:c>
      <x:c r="I3" t="str">
        <x:v>1997-06-end</x:v>
      </x:c>
    </x:row>
    <x:row r="4">
      <x:c r="A4" t="n">
        <x:v>1997</x:v>
      </x:c>
      <x:c r="B4" t="n">
        <x:v>3</x:v>
      </x:c>
      <x:c r="C4" t="str">
        <x:v>1997Q3</x:v>
      </x:c>
      <x:c r="D4" s="2" t="n">
        <x:f>IF(F4=0,"",SUMIF(Monthly_Source!$E$2:$E$356,$C4,Monthly_Source!$C$2:$C$356)/F4)</x:f>
        <x:v>65.49169381697318</x:v>
      </x:c>
      <x:c r="E4" s="2" t="n">
        <x:f>IF(F4=0,"",SUMIF(Monthly_Source!$E$2:$E$356,$C4,Monthly_Source!$D$2:$D$356)/F4)</x:f>
        <x:v>63.56134650207273</x:v>
      </x:c>
      <x:c r="F4" t="n">
        <x:f>COUNTIF(Monthly_Source!$E$2:$E$356,$C4)</x:f>
        <x:v>3</x:v>
      </x:c>
      <x:c r="G4" t="str">
        <x:f>IF(F4=3,"Complete","Incomplete - exclude from estimation")</x:f>
        <x:v>Complete</x:v>
      </x:c>
      <x:c r="H4" t="str">
        <x:v>1997-07-01</x:v>
      </x:c>
      <x:c r="I4" t="str">
        <x:v>1997-09-end</x:v>
      </x:c>
    </x:row>
    <x:row r="5">
      <x:c r="A5" t="n">
        <x:v>1997</x:v>
      </x:c>
      <x:c r="B5" t="n">
        <x:v>4</x:v>
      </x:c>
      <x:c r="C5" t="str">
        <x:v>1997Q4</x:v>
      </x:c>
      <x:c r="D5" s="2" t="n">
        <x:f>IF(F5=0,"",SUMIF(Monthly_Source!$E$2:$E$356,$C5,Monthly_Source!$C$2:$C$356)/F5)</x:f>
        <x:v>95.97233947620934</x:v>
      </x:c>
      <x:c r="E5" s="2" t="n">
        <x:f>IF(F5=0,"",SUMIF(Monthly_Source!$E$2:$E$356,$C5,Monthly_Source!$D$2:$D$356)/F5)</x:f>
        <x:v>86.90951793392234</x:v>
      </x:c>
      <x:c r="F5" t="n">
        <x:f>COUNTIF(Monthly_Source!$E$2:$E$356,$C5)</x:f>
        <x:v>3</x:v>
      </x:c>
      <x:c r="G5" t="str">
        <x:f>IF(F5=3,"Complete","Incomplete - exclude from estimation")</x:f>
        <x:v>Complete</x:v>
      </x:c>
      <x:c r="H5" t="str">
        <x:v>1997-10-01</x:v>
      </x:c>
      <x:c r="I5" t="str">
        <x:v>1997-12-end</x:v>
      </x:c>
    </x:row>
    <x:row r="6">
      <x:c r="A6" t="n">
        <x:v>1998</x:v>
      </x:c>
      <x:c r="B6" t="n">
        <x:v>1</x:v>
      </x:c>
      <x:c r="C6" t="str">
        <x:v>1998Q1</x:v>
      </x:c>
      <x:c r="D6" s="2" t="n">
        <x:f>IF(F6=0,"",SUMIF(Monthly_Source!$E$2:$E$356,$C6,Monthly_Source!$C$2:$C$356)/F6)</x:f>
        <x:v>91.13262783959368</x:v>
      </x:c>
      <x:c r="E6" s="2" t="n">
        <x:f>IF(F6=0,"",SUMIF(Monthly_Source!$E$2:$E$356,$C6,Monthly_Source!$D$2:$D$356)/F6)</x:f>
        <x:v>84.71021134176267</x:v>
      </x:c>
      <x:c r="F6" t="n">
        <x:f>COUNTIF(Monthly_Source!$E$2:$E$356,$C6)</x:f>
        <x:v>3</x:v>
      </x:c>
      <x:c r="G6" t="str">
        <x:f>IF(F6=3,"Complete","Incomplete - exclude from estimation")</x:f>
        <x:v>Complete</x:v>
      </x:c>
      <x:c r="H6" t="str">
        <x:v>1998-01-01</x:v>
      </x:c>
      <x:c r="I6" t="str">
        <x:v>1998-03-end</x:v>
      </x:c>
    </x:row>
    <x:row r="7">
      <x:c r="A7" t="n">
        <x:v>1998</x:v>
      </x:c>
      <x:c r="B7" t="n">
        <x:v>2</x:v>
      </x:c>
      <x:c r="C7" t="str">
        <x:v>1998Q2</x:v>
      </x:c>
      <x:c r="D7" s="2" t="n">
        <x:f>IF(F7=0,"",SUMIF(Monthly_Source!$E$2:$E$356,$C7,Monthly_Source!$C$2:$C$356)/F7)</x:f>
        <x:v>83.34661386736356</x:v>
      </x:c>
      <x:c r="E7" s="2" t="n">
        <x:f>IF(F7=0,"",SUMIF(Monthly_Source!$E$2:$E$356,$C7,Monthly_Source!$D$2:$D$356)/F7)</x:f>
        <x:v>79.34084801043656</x:v>
      </x:c>
      <x:c r="F7" t="n">
        <x:f>COUNTIF(Monthly_Source!$E$2:$E$356,$C7)</x:f>
        <x:v>3</x:v>
      </x:c>
      <x:c r="G7" t="str">
        <x:f>IF(F7=3,"Complete","Incomplete - exclude from estimation")</x:f>
        <x:v>Complete</x:v>
      </x:c>
      <x:c r="H7" t="str">
        <x:v>1998-04-01</x:v>
      </x:c>
      <x:c r="I7" t="str">
        <x:v>1998-06-end</x:v>
      </x:c>
    </x:row>
    <x:row r="8">
      <x:c r="A8" t="n">
        <x:v>1998</x:v>
      </x:c>
      <x:c r="B8" t="n">
        <x:v>3</x:v>
      </x:c>
      <x:c r="C8" t="str">
        <x:v>1998Q3</x:v>
      </x:c>
      <x:c r="D8" s="2" t="n">
        <x:f>IF(F8=0,"",SUMIF(Monthly_Source!$E$2:$E$356,$C8,Monthly_Source!$C$2:$C$356)/F8)</x:f>
        <x:v>122.67404411713797</x:v>
      </x:c>
      <x:c r="E8" s="2" t="n">
        <x:f>IF(F8=0,"",SUMIF(Monthly_Source!$E$2:$E$356,$C8,Monthly_Source!$D$2:$D$356)/F8)</x:f>
        <x:v>120.03759086430392</x:v>
      </x:c>
      <x:c r="F8" t="n">
        <x:f>COUNTIF(Monthly_Source!$E$2:$E$356,$C8)</x:f>
        <x:v>3</x:v>
      </x:c>
      <x:c r="G8" t="str">
        <x:f>IF(F8=3,"Complete","Incomplete - exclude from estimation")</x:f>
        <x:v>Complete</x:v>
      </x:c>
      <x:c r="H8" t="str">
        <x:v>1998-07-01</x:v>
      </x:c>
      <x:c r="I8" t="str">
        <x:v>1998-09-end</x:v>
      </x:c>
    </x:row>
    <x:row r="9">
      <x:c r="A9" t="n">
        <x:v>1998</x:v>
      </x:c>
      <x:c r="B9" t="n">
        <x:v>4</x:v>
      </x:c>
      <x:c r="C9" t="str">
        <x:v>1998Q4</x:v>
      </x:c>
      <x:c r="D9" s="2" t="n">
        <x:f>IF(F9=0,"",SUMIF(Monthly_Source!$E$2:$E$356,$C9,Monthly_Source!$C$2:$C$356)/F9)</x:f>
        <x:v>105.82335446868335</x:v>
      </x:c>
      <x:c r="E9" s="2" t="n">
        <x:f>IF(F9=0,"",SUMIF(Monthly_Source!$E$2:$E$356,$C9,Monthly_Source!$D$2:$D$356)/F9)</x:f>
        <x:v>102.37798075438555</x:v>
      </x:c>
      <x:c r="F9" t="n">
        <x:f>COUNTIF(Monthly_Source!$E$2:$E$356,$C9)</x:f>
        <x:v>3</x:v>
      </x:c>
      <x:c r="G9" t="str">
        <x:f>IF(F9=3,"Complete","Incomplete - exclude from estimation")</x:f>
        <x:v>Complete</x:v>
      </x:c>
      <x:c r="H9" t="str">
        <x:v>1998-10-01</x:v>
      </x:c>
      <x:c r="I9" t="str">
        <x:v>1998-12-end</x:v>
      </x:c>
    </x:row>
    <x:row r="10">
      <x:c r="A10" t="n">
        <x:v>1999</x:v>
      </x:c>
      <x:c r="B10" t="n">
        <x:v>1</x:v>
      </x:c>
      <x:c r="C10" t="str">
        <x:v>1999Q1</x:v>
      </x:c>
      <x:c r="D10" s="2" t="n">
        <x:f>IF(F10=0,"",SUMIF(Monthly_Source!$E$2:$E$356,$C10,Monthly_Source!$C$2:$C$356)/F10)</x:f>
        <x:v>81.10526330135565</x:v>
      </x:c>
      <x:c r="E10" s="2" t="n">
        <x:f>IF(F10=0,"",SUMIF(Monthly_Source!$E$2:$E$356,$C10,Monthly_Source!$D$2:$D$356)/F10)</x:f>
        <x:v>77.95494837556109</x:v>
      </x:c>
      <x:c r="F10" t="n">
        <x:f>COUNTIF(Monthly_Source!$E$2:$E$356,$C10)</x:f>
        <x:v>3</x:v>
      </x:c>
      <x:c r="G10" t="str">
        <x:f>IF(F10=3,"Complete","Incomplete - exclude from estimation")</x:f>
        <x:v>Complete</x:v>
      </x:c>
      <x:c r="H10" t="str">
        <x:v>1999-01-01</x:v>
      </x:c>
      <x:c r="I10" t="str">
        <x:v>1999-03-end</x:v>
      </x:c>
    </x:row>
    <x:row r="11">
      <x:c r="A11" t="n">
        <x:v>1999</x:v>
      </x:c>
      <x:c r="B11" t="n">
        <x:v>2</x:v>
      </x:c>
      <x:c r="C11" t="str">
        <x:v>1999Q2</x:v>
      </x:c>
      <x:c r="D11" s="2" t="n">
        <x:f>IF(F11=0,"",SUMIF(Monthly_Source!$E$2:$E$356,$C11,Monthly_Source!$C$2:$C$356)/F11)</x:f>
        <x:v>69.22868077761463</x:v>
      </x:c>
      <x:c r="E11" s="2" t="n">
        <x:f>IF(F11=0,"",SUMIF(Monthly_Source!$E$2:$E$356,$C11,Monthly_Source!$D$2:$D$356)/F11)</x:f>
        <x:v>68.23938056246062</x:v>
      </x:c>
      <x:c r="F11" t="n">
        <x:f>COUNTIF(Monthly_Source!$E$2:$E$356,$C11)</x:f>
        <x:v>3</x:v>
      </x:c>
      <x:c r="G11" t="str">
        <x:f>IF(F11=3,"Complete","Incomplete - exclude from estimation")</x:f>
        <x:v>Complete</x:v>
      </x:c>
      <x:c r="H11" t="str">
        <x:v>1999-04-01</x:v>
      </x:c>
      <x:c r="I11" t="str">
        <x:v>1999-06-end</x:v>
      </x:c>
    </x:row>
    <x:row r="12">
      <x:c r="A12" t="n">
        <x:v>1999</x:v>
      </x:c>
      <x:c r="B12" t="n">
        <x:v>3</x:v>
      </x:c>
      <x:c r="C12" t="str">
        <x:v>1999Q3</x:v>
      </x:c>
      <x:c r="D12" s="2" t="n">
        <x:f>IF(F12=0,"",SUMIF(Monthly_Source!$E$2:$E$356,$C12,Monthly_Source!$C$2:$C$356)/F12)</x:f>
        <x:v>69.89553969556509</x:v>
      </x:c>
      <x:c r="E12" s="2" t="n">
        <x:f>IF(F12=0,"",SUMIF(Monthly_Source!$E$2:$E$356,$C12,Monthly_Source!$D$2:$D$356)/F12)</x:f>
        <x:v>70.66845259952449</x:v>
      </x:c>
      <x:c r="F12" t="n">
        <x:f>COUNTIF(Monthly_Source!$E$2:$E$356,$C12)</x:f>
        <x:v>3</x:v>
      </x:c>
      <x:c r="G12" t="str">
        <x:f>IF(F12=3,"Complete","Incomplete - exclude from estimation")</x:f>
        <x:v>Complete</x:v>
      </x:c>
      <x:c r="H12" t="str">
        <x:v>1999-07-01</x:v>
      </x:c>
      <x:c r="I12" t="str">
        <x:v>1999-09-end</x:v>
      </x:c>
    </x:row>
    <x:row r="13">
      <x:c r="A13" t="n">
        <x:v>1999</x:v>
      </x:c>
      <x:c r="B13" t="n">
        <x:v>4</x:v>
      </x:c>
      <x:c r="C13" t="str">
        <x:v>1999Q4</x:v>
      </x:c>
      <x:c r="D13" s="2" t="n">
        <x:f>IF(F13=0,"",SUMIF(Monthly_Source!$E$2:$E$356,$C13,Monthly_Source!$C$2:$C$356)/F13)</x:f>
        <x:v>66.4698975247148</x:v>
      </x:c>
      <x:c r="E13" s="2" t="n">
        <x:f>IF(F13=0,"",SUMIF(Monthly_Source!$E$2:$E$356,$C13,Monthly_Source!$D$2:$D$356)/F13)</x:f>
        <x:v>66.11264870960788</x:v>
      </x:c>
      <x:c r="F13" t="n">
        <x:f>COUNTIF(Monthly_Source!$E$2:$E$356,$C13)</x:f>
        <x:v>3</x:v>
      </x:c>
      <x:c r="G13" t="str">
        <x:f>IF(F13=3,"Complete","Incomplete - exclude from estimation")</x:f>
        <x:v>Complete</x:v>
      </x:c>
      <x:c r="H13" t="str">
        <x:v>1999-10-01</x:v>
      </x:c>
      <x:c r="I13" t="str">
        <x:v>1999-12-end</x:v>
      </x:c>
    </x:row>
    <x:row r="14">
      <x:c r="A14" t="n">
        <x:v>2000</x:v>
      </x:c>
      <x:c r="B14" t="n">
        <x:v>1</x:v>
      </x:c>
      <x:c r="C14" t="str">
        <x:v>2000Q1</x:v>
      </x:c>
      <x:c r="D14" s="2" t="n">
        <x:f>IF(F14=0,"",SUMIF(Monthly_Source!$E$2:$E$356,$C14,Monthly_Source!$C$2:$C$356)/F14)</x:f>
        <x:v>64.10631712106733</x:v>
      </x:c>
      <x:c r="E14" s="2" t="n">
        <x:f>IF(F14=0,"",SUMIF(Monthly_Source!$E$2:$E$356,$C14,Monthly_Source!$D$2:$D$356)/F14)</x:f>
        <x:v>63.77006743742255</x:v>
      </x:c>
      <x:c r="F14" t="n">
        <x:f>COUNTIF(Monthly_Source!$E$2:$E$356,$C14)</x:f>
        <x:v>3</x:v>
      </x:c>
      <x:c r="G14" t="str">
        <x:f>IF(F14=3,"Complete","Incomplete - exclude from estimation")</x:f>
        <x:v>Complete</x:v>
      </x:c>
      <x:c r="H14" t="str">
        <x:v>2000-01-01</x:v>
      </x:c>
      <x:c r="I14" t="str">
        <x:v>2000-03-end</x:v>
      </x:c>
    </x:row>
    <x:row r="15">
      <x:c r="A15" t="n">
        <x:v>2000</x:v>
      </x:c>
      <x:c r="B15" t="n">
        <x:v>2</x:v>
      </x:c>
      <x:c r="C15" t="str">
        <x:v>2000Q2</x:v>
      </x:c>
      <x:c r="D15" s="2" t="n">
        <x:f>IF(F15=0,"",SUMIF(Monthly_Source!$E$2:$E$356,$C15,Monthly_Source!$C$2:$C$356)/F15)</x:f>
        <x:v>81.1985434493352</x:v>
      </x:c>
      <x:c r="E15" s="2" t="n">
        <x:f>IF(F15=0,"",SUMIF(Monthly_Source!$E$2:$E$356,$C15,Monthly_Source!$D$2:$D$356)/F15)</x:f>
        <x:v>77.48452099275556</x:v>
      </x:c>
      <x:c r="F15" t="n">
        <x:f>COUNTIF(Monthly_Source!$E$2:$E$356,$C15)</x:f>
        <x:v>3</x:v>
      </x:c>
      <x:c r="G15" t="str">
        <x:f>IF(F15=3,"Complete","Incomplete - exclude from estimation")</x:f>
        <x:v>Complete</x:v>
      </x:c>
      <x:c r="H15" t="str">
        <x:v>2000-04-01</x:v>
      </x:c>
      <x:c r="I15" t="str">
        <x:v>2000-06-end</x:v>
      </x:c>
    </x:row>
    <x:row r="16">
      <x:c r="A16" t="n">
        <x:v>2000</x:v>
      </x:c>
      <x:c r="B16" t="n">
        <x:v>3</x:v>
      </x:c>
      <x:c r="C16" t="str">
        <x:v>2000Q3</x:v>
      </x:c>
      <x:c r="D16" s="2" t="n">
        <x:f>IF(F16=0,"",SUMIF(Monthly_Source!$E$2:$E$356,$C16,Monthly_Source!$C$2:$C$356)/F16)</x:f>
        <x:v>61.53419446913585</x:v>
      </x:c>
      <x:c r="E16" s="2" t="n">
        <x:f>IF(F16=0,"",SUMIF(Monthly_Source!$E$2:$E$356,$C16,Monthly_Source!$D$2:$D$356)/F16)</x:f>
        <x:v>60.587066167020815</x:v>
      </x:c>
      <x:c r="F16" t="n">
        <x:f>COUNTIF(Monthly_Source!$E$2:$E$356,$C16)</x:f>
        <x:v>3</x:v>
      </x:c>
      <x:c r="G16" t="str">
        <x:f>IF(F16=3,"Complete","Incomplete - exclude from estimation")</x:f>
        <x:v>Complete</x:v>
      </x:c>
      <x:c r="H16" t="str">
        <x:v>2000-07-01</x:v>
      </x:c>
      <x:c r="I16" t="str">
        <x:v>2000-09-end</x:v>
      </x:c>
    </x:row>
    <x:row r="17">
      <x:c r="A17" t="n">
        <x:v>2000</x:v>
      </x:c>
      <x:c r="B17" t="n">
        <x:v>4</x:v>
      </x:c>
      <x:c r="C17" t="str">
        <x:v>2000Q4</x:v>
      </x:c>
      <x:c r="D17" s="2" t="n">
        <x:f>IF(F17=0,"",SUMIF(Monthly_Source!$E$2:$E$356,$C17,Monthly_Source!$C$2:$C$356)/F17)</x:f>
        <x:v>92.85870745666533</x:v>
      </x:c>
      <x:c r="E17" s="2" t="n">
        <x:f>IF(F17=0,"",SUMIF(Monthly_Source!$E$2:$E$356,$C17,Monthly_Source!$D$2:$D$356)/F17)</x:f>
        <x:v>87.85523990223237</x:v>
      </x:c>
      <x:c r="F17" t="n">
        <x:f>COUNTIF(Monthly_Source!$E$2:$E$356,$C17)</x:f>
        <x:v>3</x:v>
      </x:c>
      <x:c r="G17" t="str">
        <x:f>IF(F17=3,"Complete","Incomplete - exclude from estimation")</x:f>
        <x:v>Complete</x:v>
      </x:c>
      <x:c r="H17" t="str">
        <x:v>2000-10-01</x:v>
      </x:c>
      <x:c r="I17" t="str">
        <x:v>2000-12-end</x:v>
      </x:c>
    </x:row>
    <x:row r="18">
      <x:c r="A18" t="n">
        <x:v>2001</x:v>
      </x:c>
      <x:c r="B18" t="n">
        <x:v>1</x:v>
      </x:c>
      <x:c r="C18" t="str">
        <x:v>2001Q1</x:v>
      </x:c>
      <x:c r="D18" s="2" t="n">
        <x:f>IF(F18=0,"",SUMIF(Monthly_Source!$E$2:$E$356,$C18,Monthly_Source!$C$2:$C$356)/F18)</x:f>
        <x:v>103.26662262135305</x:v>
      </x:c>
      <x:c r="E18" s="2" t="n">
        <x:f>IF(F18=0,"",SUMIF(Monthly_Source!$E$2:$E$356,$C18,Monthly_Source!$D$2:$D$356)/F18)</x:f>
        <x:v>95.59727958845623</x:v>
      </x:c>
      <x:c r="F18" t="n">
        <x:f>COUNTIF(Monthly_Source!$E$2:$E$356,$C18)</x:f>
        <x:v>3</x:v>
      </x:c>
      <x:c r="G18" t="str">
        <x:f>IF(F18=3,"Complete","Incomplete - exclude from estimation")</x:f>
        <x:v>Complete</x:v>
      </x:c>
      <x:c r="H18" t="str">
        <x:v>2001-01-01</x:v>
      </x:c>
      <x:c r="I18" t="str">
        <x:v>2001-03-end</x:v>
      </x:c>
    </x:row>
    <x:row r="19">
      <x:c r="A19" t="n">
        <x:v>2001</x:v>
      </x:c>
      <x:c r="B19" t="n">
        <x:v>2</x:v>
      </x:c>
      <x:c r="C19" t="str">
        <x:v>2001Q2</x:v>
      </x:c>
      <x:c r="D19" s="2" t="n">
        <x:f>IF(F19=0,"",SUMIF(Monthly_Source!$E$2:$E$356,$C19,Monthly_Source!$C$2:$C$356)/F19)</x:f>
        <x:v>88.34691628255173</x:v>
      </x:c>
      <x:c r="E19" s="2" t="n">
        <x:f>IF(F19=0,"",SUMIF(Monthly_Source!$E$2:$E$356,$C19,Monthly_Source!$D$2:$D$356)/F19)</x:f>
        <x:v>81.400021806054</x:v>
      </x:c>
      <x:c r="F19" t="n">
        <x:f>COUNTIF(Monthly_Source!$E$2:$E$356,$C19)</x:f>
        <x:v>3</x:v>
      </x:c>
      <x:c r="G19" t="str">
        <x:f>IF(F19=3,"Complete","Incomplete - exclude from estimation")</x:f>
        <x:v>Complete</x:v>
      </x:c>
      <x:c r="H19" t="str">
        <x:v>2001-04-01</x:v>
      </x:c>
      <x:c r="I19" t="str">
        <x:v>2001-06-end</x:v>
      </x:c>
    </x:row>
    <x:row r="20">
      <x:c r="A20" t="n">
        <x:v>2001</x:v>
      </x:c>
      <x:c r="B20" t="n">
        <x:v>3</x:v>
      </x:c>
      <x:c r="C20" t="str">
        <x:v>2001Q3</x:v>
      </x:c>
      <x:c r="D20" s="2" t="n">
        <x:f>IF(F20=0,"",SUMIF(Monthly_Source!$E$2:$E$356,$C20,Monthly_Source!$C$2:$C$356)/F20)</x:f>
        <x:v>119.93969519265856</x:v>
      </x:c>
      <x:c r="E20" s="2" t="n">
        <x:f>IF(F20=0,"",SUMIF(Monthly_Source!$E$2:$E$356,$C20,Monthly_Source!$D$2:$D$356)/F20)</x:f>
        <x:v>110.91642267673687</x:v>
      </x:c>
      <x:c r="F20" t="n">
        <x:f>COUNTIF(Monthly_Source!$E$2:$E$356,$C20)</x:f>
        <x:v>3</x:v>
      </x:c>
      <x:c r="G20" t="str">
        <x:f>IF(F20=3,"Complete","Incomplete - exclude from estimation")</x:f>
        <x:v>Complete</x:v>
      </x:c>
      <x:c r="H20" t="str">
        <x:v>2001-07-01</x:v>
      </x:c>
      <x:c r="I20" t="str">
        <x:v>2001-09-end</x:v>
      </x:c>
    </x:row>
    <x:row r="21">
      <x:c r="A21" t="n">
        <x:v>2001</x:v>
      </x:c>
      <x:c r="B21" t="n">
        <x:v>4</x:v>
      </x:c>
      <x:c r="C21" t="str">
        <x:v>2001Q4</x:v>
      </x:c>
      <x:c r="D21" s="2" t="n">
        <x:f>IF(F21=0,"",SUMIF(Monthly_Source!$E$2:$E$356,$C21,Monthly_Source!$C$2:$C$356)/F21)</x:f>
        <x:v>135.41868607849776</x:v>
      </x:c>
      <x:c r="E21" s="2" t="n">
        <x:f>IF(F21=0,"",SUMIF(Monthly_Source!$E$2:$E$356,$C21,Monthly_Source!$D$2:$D$356)/F21)</x:f>
        <x:v>128.9017421480652</x:v>
      </x:c>
      <x:c r="F21" t="n">
        <x:f>COUNTIF(Monthly_Source!$E$2:$E$356,$C21)</x:f>
        <x:v>3</x:v>
      </x:c>
      <x:c r="G21" t="str">
        <x:f>IF(F21=3,"Complete","Incomplete - exclude from estimation")</x:f>
        <x:v>Complete</x:v>
      </x:c>
      <x:c r="H21" t="str">
        <x:v>2001-10-01</x:v>
      </x:c>
      <x:c r="I21" t="str">
        <x:v>2001-12-end</x:v>
      </x:c>
    </x:row>
    <x:row r="22">
      <x:c r="A22" t="n">
        <x:v>2002</x:v>
      </x:c>
      <x:c r="B22" t="n">
        <x:v>1</x:v>
      </x:c>
      <x:c r="C22" t="str">
        <x:v>2002Q1</x:v>
      </x:c>
      <x:c r="D22" s="2" t="n">
        <x:f>IF(F22=0,"",SUMIF(Monthly_Source!$E$2:$E$356,$C22,Monthly_Source!$C$2:$C$356)/F22)</x:f>
        <x:v>90.32459199136416</x:v>
      </x:c>
      <x:c r="E22" s="2" t="n">
        <x:f>IF(F22=0,"",SUMIF(Monthly_Source!$E$2:$E$356,$C22,Monthly_Source!$D$2:$D$356)/F22)</x:f>
        <x:v>86.33436370934452</x:v>
      </x:c>
      <x:c r="F22" t="n">
        <x:f>COUNTIF(Monthly_Source!$E$2:$E$356,$C22)</x:f>
        <x:v>3</x:v>
      </x:c>
      <x:c r="G22" t="str">
        <x:f>IF(F22=3,"Complete","Incomplete - exclude from estimation")</x:f>
        <x:v>Complete</x:v>
      </x:c>
      <x:c r="H22" t="str">
        <x:v>2002-01-01</x:v>
      </x:c>
      <x:c r="I22" t="str">
        <x:v>2002-03-end</x:v>
      </x:c>
    </x:row>
    <x:row r="23">
      <x:c r="A23" t="n">
        <x:v>2002</x:v>
      </x:c>
      <x:c r="B23" t="n">
        <x:v>2</x:v>
      </x:c>
      <x:c r="C23" t="str">
        <x:v>2002Q2</x:v>
      </x:c>
      <x:c r="D23" s="2" t="n">
        <x:f>IF(F23=0,"",SUMIF(Monthly_Source!$E$2:$E$356,$C23,Monthly_Source!$C$2:$C$356)/F23)</x:f>
        <x:v>85.26519124254182</x:v>
      </x:c>
      <x:c r="E23" s="2" t="n">
        <x:f>IF(F23=0,"",SUMIF(Monthly_Source!$E$2:$E$356,$C23,Monthly_Source!$D$2:$D$356)/F23)</x:f>
        <x:v>83.46795578141415</x:v>
      </x:c>
      <x:c r="F23" t="n">
        <x:f>COUNTIF(Monthly_Source!$E$2:$E$356,$C23)</x:f>
        <x:v>3</x:v>
      </x:c>
      <x:c r="G23" t="str">
        <x:f>IF(F23=3,"Complete","Incomplete - exclude from estimation")</x:f>
        <x:v>Complete</x:v>
      </x:c>
      <x:c r="H23" t="str">
        <x:v>2002-04-01</x:v>
      </x:c>
      <x:c r="I23" t="str">
        <x:v>2002-06-end</x:v>
      </x:c>
    </x:row>
    <x:row r="24">
      <x:c r="A24" t="n">
        <x:v>2002</x:v>
      </x:c>
      <x:c r="B24" t="n">
        <x:v>3</x:v>
      </x:c>
      <x:c r="C24" t="str">
        <x:v>2002Q3</x:v>
      </x:c>
      <x:c r="D24" s="2" t="n">
        <x:f>IF(F24=0,"",SUMIF(Monthly_Source!$E$2:$E$356,$C24,Monthly_Source!$C$2:$C$356)/F24)</x:f>
        <x:v>110.58775390650543</x:v>
      </x:c>
      <x:c r="E24" s="2" t="n">
        <x:f>IF(F24=0,"",SUMIF(Monthly_Source!$E$2:$E$356,$C24,Monthly_Source!$D$2:$D$356)/F24)</x:f>
        <x:v>106.52219677233931</x:v>
      </x:c>
      <x:c r="F24" t="n">
        <x:f>COUNTIF(Monthly_Source!$E$2:$E$356,$C24)</x:f>
        <x:v>3</x:v>
      </x:c>
      <x:c r="G24" t="str">
        <x:f>IF(F24=3,"Complete","Incomplete - exclude from estimation")</x:f>
        <x:v>Complete</x:v>
      </x:c>
      <x:c r="H24" t="str">
        <x:v>2002-07-01</x:v>
      </x:c>
      <x:c r="I24" t="str">
        <x:v>2002-09-end</x:v>
      </x:c>
    </x:row>
    <x:row r="25">
      <x:c r="A25" t="n">
        <x:v>2002</x:v>
      </x:c>
      <x:c r="B25" t="n">
        <x:v>4</x:v>
      </x:c>
      <x:c r="C25" t="str">
        <x:v>2002Q4</x:v>
      </x:c>
      <x:c r="D25" s="2" t="n">
        <x:f>IF(F25=0,"",SUMIF(Monthly_Source!$E$2:$E$356,$C25,Monthly_Source!$C$2:$C$356)/F25)</x:f>
        <x:v>120.65546368716686</x:v>
      </x:c>
      <x:c r="E25" s="2" t="n">
        <x:f>IF(F25=0,"",SUMIF(Monthly_Source!$E$2:$E$356,$C25,Monthly_Source!$D$2:$D$356)/F25)</x:f>
        <x:v>116.82807361734586</x:v>
      </x:c>
      <x:c r="F25" t="n">
        <x:f>COUNTIF(Monthly_Source!$E$2:$E$356,$C25)</x:f>
        <x:v>3</x:v>
      </x:c>
      <x:c r="G25" t="str">
        <x:f>IF(F25=3,"Complete","Incomplete - exclude from estimation")</x:f>
        <x:v>Complete</x:v>
      </x:c>
      <x:c r="H25" t="str">
        <x:v>2002-10-01</x:v>
      </x:c>
      <x:c r="I25" t="str">
        <x:v>2002-12-end</x:v>
      </x:c>
    </x:row>
    <x:row r="26">
      <x:c r="A26" t="n">
        <x:v>2003</x:v>
      </x:c>
      <x:c r="B26" t="n">
        <x:v>1</x:v>
      </x:c>
      <x:c r="C26" t="str">
        <x:v>2003Q1</x:v>
      </x:c>
      <x:c r="D26" s="2" t="n">
        <x:f>IF(F26=0,"",SUMIF(Monthly_Source!$E$2:$E$356,$C26,Monthly_Source!$C$2:$C$356)/F26)</x:f>
        <x:v>148.75710924041505</x:v>
      </x:c>
      <x:c r="E26" s="2" t="n">
        <x:f>IF(F26=0,"",SUMIF(Monthly_Source!$E$2:$E$356,$C26,Monthly_Source!$D$2:$D$356)/F26)</x:f>
        <x:v>141.0479689573227</x:v>
      </x:c>
      <x:c r="F26" t="n">
        <x:f>COUNTIF(Monthly_Source!$E$2:$E$356,$C26)</x:f>
        <x:v>3</x:v>
      </x:c>
      <x:c r="G26" t="str">
        <x:f>IF(F26=3,"Complete","Incomplete - exclude from estimation")</x:f>
        <x:v>Complete</x:v>
      </x:c>
      <x:c r="H26" t="str">
        <x:v>2003-01-01</x:v>
      </x:c>
      <x:c r="I26" t="str">
        <x:v>2003-03-end</x:v>
      </x:c>
    </x:row>
    <x:row r="27">
      <x:c r="A27" t="n">
        <x:v>2003</x:v>
      </x:c>
      <x:c r="B27" t="n">
        <x:v>2</x:v>
      </x:c>
      <x:c r="C27" t="str">
        <x:v>2003Q2</x:v>
      </x:c>
      <x:c r="D27" s="2" t="n">
        <x:f>IF(F27=0,"",SUMIF(Monthly_Source!$E$2:$E$356,$C27,Monthly_Source!$C$2:$C$356)/F27)</x:f>
        <x:v>111.04191108461477</x:v>
      </x:c>
      <x:c r="E27" s="2" t="n">
        <x:f>IF(F27=0,"",SUMIF(Monthly_Source!$E$2:$E$356,$C27,Monthly_Source!$D$2:$D$356)/F27)</x:f>
        <x:v>106.53099681911574</x:v>
      </x:c>
      <x:c r="F27" t="n">
        <x:f>COUNTIF(Monthly_Source!$E$2:$E$356,$C27)</x:f>
        <x:v>3</x:v>
      </x:c>
      <x:c r="G27" t="str">
        <x:f>IF(F27=3,"Complete","Incomplete - exclude from estimation")</x:f>
        <x:v>Complete</x:v>
      </x:c>
      <x:c r="H27" t="str">
        <x:v>2003-04-01</x:v>
      </x:c>
      <x:c r="I27" t="str">
        <x:v>2003-06-end</x:v>
      </x:c>
    </x:row>
    <x:row r="28">
      <x:c r="A28" t="n">
        <x:v>2003</x:v>
      </x:c>
      <x:c r="B28" t="n">
        <x:v>3</x:v>
      </x:c>
      <x:c r="C28" t="str">
        <x:v>2003Q3</x:v>
      </x:c>
      <x:c r="D28" s="2" t="n">
        <x:f>IF(F28=0,"",SUMIF(Monthly_Source!$E$2:$E$356,$C28,Monthly_Source!$C$2:$C$356)/F28)</x:f>
        <x:v>77.54343453984148</x:v>
      </x:c>
      <x:c r="E28" s="2" t="n">
        <x:f>IF(F28=0,"",SUMIF(Monthly_Source!$E$2:$E$356,$C28,Monthly_Source!$D$2:$D$356)/F28)</x:f>
        <x:v>77.64924656189618</x:v>
      </x:c>
      <x:c r="F28" t="n">
        <x:f>COUNTIF(Monthly_Source!$E$2:$E$356,$C28)</x:f>
        <x:v>3</x:v>
      </x:c>
      <x:c r="G28" t="str">
        <x:f>IF(F28=3,"Complete","Incomplete - exclude from estimation")</x:f>
        <x:v>Complete</x:v>
      </x:c>
      <x:c r="H28" t="str">
        <x:v>2003-07-01</x:v>
      </x:c>
      <x:c r="I28" t="str">
        <x:v>2003-09-end</x:v>
      </x:c>
    </x:row>
    <x:row r="29">
      <x:c r="A29" t="n">
        <x:v>2003</x:v>
      </x:c>
      <x:c r="B29" t="n">
        <x:v>4</x:v>
      </x:c>
      <x:c r="C29" t="str">
        <x:v>2003Q4</x:v>
      </x:c>
      <x:c r="D29" s="2" t="n">
        <x:f>IF(F29=0,"",SUMIF(Monthly_Source!$E$2:$E$356,$C29,Monthly_Source!$C$2:$C$356)/F29)</x:f>
        <x:v>75.11973643087968</x:v>
      </x:c>
      <x:c r="E29" s="2" t="n">
        <x:f>IF(F29=0,"",SUMIF(Monthly_Source!$E$2:$E$356,$C29,Monthly_Source!$D$2:$D$356)/F29)</x:f>
        <x:v>77.1679779229309</x:v>
      </x:c>
      <x:c r="F29" t="n">
        <x:f>COUNTIF(Monthly_Source!$E$2:$E$356,$C29)</x:f>
        <x:v>3</x:v>
      </x:c>
      <x:c r="G29" t="str">
        <x:f>IF(F29=3,"Complete","Incomplete - exclude from estimation")</x:f>
        <x:v>Complete</x:v>
      </x:c>
      <x:c r="H29" t="str">
        <x:v>2003-10-01</x:v>
      </x:c>
      <x:c r="I29" t="str">
        <x:v>2003-12-end</x:v>
      </x:c>
    </x:row>
    <x:row r="30">
      <x:c r="A30" t="n">
        <x:v>2004</x:v>
      </x:c>
      <x:c r="B30" t="n">
        <x:v>1</x:v>
      </x:c>
      <x:c r="C30" t="str">
        <x:v>2004Q1</x:v>
      </x:c>
      <x:c r="D30" s="2" t="n">
        <x:f>IF(F30=0,"",SUMIF(Monthly_Source!$E$2:$E$356,$C30,Monthly_Source!$C$2:$C$356)/F30)</x:f>
        <x:v>74.88349867256689</x:v>
      </x:c>
      <x:c r="E30" s="2" t="n">
        <x:f>IF(F30=0,"",SUMIF(Monthly_Source!$E$2:$E$356,$C30,Monthly_Source!$D$2:$D$356)/F30)</x:f>
        <x:v>77.9359914146299</x:v>
      </x:c>
      <x:c r="F30" t="n">
        <x:f>COUNTIF(Monthly_Source!$E$2:$E$356,$C30)</x:f>
        <x:v>3</x:v>
      </x:c>
      <x:c r="G30" t="str">
        <x:f>IF(F30=3,"Complete","Incomplete - exclude from estimation")</x:f>
        <x:v>Complete</x:v>
      </x:c>
      <x:c r="H30" t="str">
        <x:v>2004-01-01</x:v>
      </x:c>
      <x:c r="I30" t="str">
        <x:v>2004-03-end</x:v>
      </x:c>
    </x:row>
    <x:row r="31">
      <x:c r="A31" t="n">
        <x:v>2004</x:v>
      </x:c>
      <x:c r="B31" t="n">
        <x:v>2</x:v>
      </x:c>
      <x:c r="C31" t="str">
        <x:v>2004Q2</x:v>
      </x:c>
      <x:c r="D31" s="2" t="n">
        <x:f>IF(F31=0,"",SUMIF(Monthly_Source!$E$2:$E$356,$C31,Monthly_Source!$C$2:$C$356)/F31)</x:f>
        <x:v>81.68278827389543</x:v>
      </x:c>
      <x:c r="E31" s="2" t="n">
        <x:f>IF(F31=0,"",SUMIF(Monthly_Source!$E$2:$E$356,$C31,Monthly_Source!$D$2:$D$356)/F31)</x:f>
        <x:v>84.74966149669375</x:v>
      </x:c>
      <x:c r="F31" t="n">
        <x:f>COUNTIF(Monthly_Source!$E$2:$E$356,$C31)</x:f>
        <x:v>3</x:v>
      </x:c>
      <x:c r="G31" t="str">
        <x:f>IF(F31=3,"Complete","Incomplete - exclude from estimation")</x:f>
        <x:v>Complete</x:v>
      </x:c>
      <x:c r="H31" t="str">
        <x:v>2004-04-01</x:v>
      </x:c>
      <x:c r="I31" t="str">
        <x:v>2004-06-end</x:v>
      </x:c>
    </x:row>
    <x:row r="32">
      <x:c r="A32" t="n">
        <x:v>2004</x:v>
      </x:c>
      <x:c r="B32" t="n">
        <x:v>3</x:v>
      </x:c>
      <x:c r="C32" t="str">
        <x:v>2004Q3</x:v>
      </x:c>
      <x:c r="D32" s="2" t="n">
        <x:f>IF(F32=0,"",SUMIF(Monthly_Source!$E$2:$E$356,$C32,Monthly_Source!$C$2:$C$356)/F32)</x:f>
        <x:v>73.57165312173487</x:v>
      </x:c>
      <x:c r="E32" s="2" t="n">
        <x:f>IF(F32=0,"",SUMIF(Monthly_Source!$E$2:$E$356,$C32,Monthly_Source!$D$2:$D$356)/F32)</x:f>
        <x:v>71.42103589401786</x:v>
      </x:c>
      <x:c r="F32" t="n">
        <x:f>COUNTIF(Monthly_Source!$E$2:$E$356,$C32)</x:f>
        <x:v>3</x:v>
      </x:c>
      <x:c r="G32" t="str">
        <x:f>IF(F32=3,"Complete","Incomplete - exclude from estimation")</x:f>
        <x:v>Complete</x:v>
      </x:c>
      <x:c r="H32" t="str">
        <x:v>2004-07-01</x:v>
      </x:c>
      <x:c r="I32" t="str">
        <x:v>2004-09-end</x:v>
      </x:c>
    </x:row>
    <x:row r="33">
      <x:c r="A33" t="n">
        <x:v>2004</x:v>
      </x:c>
      <x:c r="B33" t="n">
        <x:v>4</x:v>
      </x:c>
      <x:c r="C33" t="str">
        <x:v>2004Q4</x:v>
      </x:c>
      <x:c r="D33" s="2" t="n">
        <x:f>IF(F33=0,"",SUMIF(Monthly_Source!$E$2:$E$356,$C33,Monthly_Source!$C$2:$C$356)/F33)</x:f>
        <x:v>79.97332179371318</x:v>
      </x:c>
      <x:c r="E33" s="2" t="n">
        <x:f>IF(F33=0,"",SUMIF(Monthly_Source!$E$2:$E$356,$C33,Monthly_Source!$D$2:$D$356)/F33)</x:f>
        <x:v>80.19635784908824</x:v>
      </x:c>
      <x:c r="F33" t="n">
        <x:f>COUNTIF(Monthly_Source!$E$2:$E$356,$C33)</x:f>
        <x:v>3</x:v>
      </x:c>
      <x:c r="G33" t="str">
        <x:f>IF(F33=3,"Complete","Incomplete - exclude from estimation")</x:f>
        <x:v>Complete</x:v>
      </x:c>
      <x:c r="H33" t="str">
        <x:v>2004-10-01</x:v>
      </x:c>
      <x:c r="I33" t="str">
        <x:v>2004-12-end</x:v>
      </x:c>
    </x:row>
    <x:row r="34">
      <x:c r="A34" t="n">
        <x:v>2005</x:v>
      </x:c>
      <x:c r="B34" t="n">
        <x:v>1</x:v>
      </x:c>
      <x:c r="C34" t="str">
        <x:v>2005Q1</x:v>
      </x:c>
      <x:c r="D34" s="2" t="n">
        <x:f>IF(F34=0,"",SUMIF(Monthly_Source!$E$2:$E$356,$C34,Monthly_Source!$C$2:$C$356)/F34)</x:f>
        <x:v>55.80332777462366</x:v>
      </x:c>
      <x:c r="E34" s="2" t="n">
        <x:f>IF(F34=0,"",SUMIF(Monthly_Source!$E$2:$E$356,$C34,Monthly_Source!$D$2:$D$356)/F34)</x:f>
        <x:v>59.846645837764775</x:v>
      </x:c>
      <x:c r="F34" t="n">
        <x:f>COUNTIF(Monthly_Source!$E$2:$E$356,$C34)</x:f>
        <x:v>3</x:v>
      </x:c>
      <x:c r="G34" t="str">
        <x:f>IF(F34=3,"Complete","Incomplete - exclude from estimation")</x:f>
        <x:v>Complete</x:v>
      </x:c>
      <x:c r="H34" t="str">
        <x:v>2005-01-01</x:v>
      </x:c>
      <x:c r="I34" t="str">
        <x:v>2005-03-end</x:v>
      </x:c>
    </x:row>
    <x:row r="35">
      <x:c r="A35" t="n">
        <x:v>2005</x:v>
      </x:c>
      <x:c r="B35" t="n">
        <x:v>2</x:v>
      </x:c>
      <x:c r="C35" t="str">
        <x:v>2005Q2</x:v>
      </x:c>
      <x:c r="D35" s="2" t="n">
        <x:f>IF(F35=0,"",SUMIF(Monthly_Source!$E$2:$E$356,$C35,Monthly_Source!$C$2:$C$356)/F35)</x:f>
        <x:v>70.35987276761692</x:v>
      </x:c>
      <x:c r="E35" s="2" t="n">
        <x:f>IF(F35=0,"",SUMIF(Monthly_Source!$E$2:$E$356,$C35,Monthly_Source!$D$2:$D$356)/F35)</x:f>
        <x:v>71.62685727839957</x:v>
      </x:c>
      <x:c r="F35" t="n">
        <x:f>COUNTIF(Monthly_Source!$E$2:$E$356,$C35)</x:f>
        <x:v>3</x:v>
      </x:c>
      <x:c r="G35" t="str">
        <x:f>IF(F35=3,"Complete","Incomplete - exclude from estimation")</x:f>
        <x:v>Complete</x:v>
      </x:c>
      <x:c r="H35" t="str">
        <x:v>2005-04-01</x:v>
      </x:c>
      <x:c r="I35" t="str">
        <x:v>2005-06-end</x:v>
      </x:c>
    </x:row>
    <x:row r="36">
      <x:c r="A36" t="n">
        <x:v>2005</x:v>
      </x:c>
      <x:c r="B36" t="n">
        <x:v>3</x:v>
      </x:c>
      <x:c r="C36" t="str">
        <x:v>2005Q3</x:v>
      </x:c>
      <x:c r="D36" s="2" t="n">
        <x:f>IF(F36=0,"",SUMIF(Monthly_Source!$E$2:$E$356,$C36,Monthly_Source!$C$2:$C$356)/F36)</x:f>
        <x:v>72.83815042892057</x:v>
      </x:c>
      <x:c r="E36" s="2" t="n">
        <x:f>IF(F36=0,"",SUMIF(Monthly_Source!$E$2:$E$356,$C36,Monthly_Source!$D$2:$D$356)/F36)</x:f>
        <x:v>73.24542487982018</x:v>
      </x:c>
      <x:c r="F36" t="n">
        <x:f>COUNTIF(Monthly_Source!$E$2:$E$356,$C36)</x:f>
        <x:v>3</x:v>
      </x:c>
      <x:c r="G36" t="str">
        <x:f>IF(F36=3,"Complete","Incomplete - exclude from estimation")</x:f>
        <x:v>Complete</x:v>
      </x:c>
      <x:c r="H36" t="str">
        <x:v>2005-07-01</x:v>
      </x:c>
      <x:c r="I36" t="str">
        <x:v>2005-09-end</x:v>
      </x:c>
    </x:row>
    <x:row r="37">
      <x:c r="A37" t="n">
        <x:v>2005</x:v>
      </x:c>
      <x:c r="B37" t="n">
        <x:v>4</x:v>
      </x:c>
      <x:c r="C37" t="str">
        <x:v>2005Q4</x:v>
      </x:c>
      <x:c r="D37" s="2" t="n">
        <x:f>IF(F37=0,"",SUMIF(Monthly_Source!$E$2:$E$356,$C37,Monthly_Source!$C$2:$C$356)/F37)</x:f>
        <x:v>64.68288042397917</x:v>
      </x:c>
      <x:c r="E37" s="2" t="n">
        <x:f>IF(F37=0,"",SUMIF(Monthly_Source!$E$2:$E$356,$C37,Monthly_Source!$D$2:$D$356)/F37)</x:f>
        <x:v>66.42688093206982</x:v>
      </x:c>
      <x:c r="F37" t="n">
        <x:f>COUNTIF(Monthly_Source!$E$2:$E$356,$C37)</x:f>
        <x:v>3</x:v>
      </x:c>
      <x:c r="G37" t="str">
        <x:f>IF(F37=3,"Complete","Incomplete - exclude from estimation")</x:f>
        <x:v>Complete</x:v>
      </x:c>
      <x:c r="H37" t="str">
        <x:v>2005-10-01</x:v>
      </x:c>
      <x:c r="I37" t="str">
        <x:v>2005-12-end</x:v>
      </x:c>
    </x:row>
    <x:row r="38">
      <x:c r="A38" t="n">
        <x:v>2006</x:v>
      </x:c>
      <x:c r="B38" t="n">
        <x:v>1</x:v>
      </x:c>
      <x:c r="C38" t="str">
        <x:v>2006Q1</x:v>
      </x:c>
      <x:c r="D38" s="2" t="n">
        <x:f>IF(F38=0,"",SUMIF(Monthly_Source!$E$2:$E$356,$C38,Monthly_Source!$C$2:$C$356)/F38)</x:f>
        <x:v>62.683858688596295</x:v>
      </x:c>
      <x:c r="E38" s="2" t="n">
        <x:f>IF(F38=0,"",SUMIF(Monthly_Source!$E$2:$E$356,$C38,Monthly_Source!$D$2:$D$356)/F38)</x:f>
        <x:v>65.93734009380239</x:v>
      </x:c>
      <x:c r="F38" t="n">
        <x:f>COUNTIF(Monthly_Source!$E$2:$E$356,$C38)</x:f>
        <x:v>3</x:v>
      </x:c>
      <x:c r="G38" t="str">
        <x:f>IF(F38=3,"Complete","Incomplete - exclude from estimation")</x:f>
        <x:v>Complete</x:v>
      </x:c>
      <x:c r="H38" t="str">
        <x:v>2006-01-01</x:v>
      </x:c>
      <x:c r="I38" t="str">
        <x:v>2006-03-end</x:v>
      </x:c>
    </x:row>
    <x:row r="39">
      <x:c r="A39" t="n">
        <x:v>2006</x:v>
      </x:c>
      <x:c r="B39" t="n">
        <x:v>2</x:v>
      </x:c>
      <x:c r="C39" t="str">
        <x:v>2006Q2</x:v>
      </x:c>
      <x:c r="D39" s="2" t="n">
        <x:f>IF(F39=0,"",SUMIF(Monthly_Source!$E$2:$E$356,$C39,Monthly_Source!$C$2:$C$356)/F39)</x:f>
        <x:v>69.45436829165487</x:v>
      </x:c>
      <x:c r="E39" s="2" t="n">
        <x:f>IF(F39=0,"",SUMIF(Monthly_Source!$E$2:$E$356,$C39,Monthly_Source!$D$2:$D$356)/F39)</x:f>
        <x:v>70.39483987919115</x:v>
      </x:c>
      <x:c r="F39" t="n">
        <x:f>COUNTIF(Monthly_Source!$E$2:$E$356,$C39)</x:f>
        <x:v>3</x:v>
      </x:c>
      <x:c r="G39" t="str">
        <x:f>IF(F39=3,"Complete","Incomplete - exclude from estimation")</x:f>
        <x:v>Complete</x:v>
      </x:c>
      <x:c r="H39" t="str">
        <x:v>2006-04-01</x:v>
      </x:c>
      <x:c r="I39" t="str">
        <x:v>2006-06-end</x:v>
      </x:c>
    </x:row>
    <x:row r="40">
      <x:c r="A40" t="n">
        <x:v>2006</x:v>
      </x:c>
      <x:c r="B40" t="n">
        <x:v>3</x:v>
      </x:c>
      <x:c r="C40" t="str">
        <x:v>2006Q3</x:v>
      </x:c>
      <x:c r="D40" s="2" t="n">
        <x:f>IF(F40=0,"",SUMIF(Monthly_Source!$E$2:$E$356,$C40,Monthly_Source!$C$2:$C$356)/F40)</x:f>
        <x:v>62.703468850826276</x:v>
      </x:c>
      <x:c r="E40" s="2" t="n">
        <x:f>IF(F40=0,"",SUMIF(Monthly_Source!$E$2:$E$356,$C40,Monthly_Source!$D$2:$D$356)/F40)</x:f>
        <x:v>64.22512139604972</x:v>
      </x:c>
      <x:c r="F40" t="n">
        <x:f>COUNTIF(Monthly_Source!$E$2:$E$356,$C40)</x:f>
        <x:v>3</x:v>
      </x:c>
      <x:c r="G40" t="str">
        <x:f>IF(F40=3,"Complete","Incomplete - exclude from estimation")</x:f>
        <x:v>Complete</x:v>
      </x:c>
      <x:c r="H40" t="str">
        <x:v>2006-07-01</x:v>
      </x:c>
      <x:c r="I40" t="str">
        <x:v>2006-09-end</x:v>
      </x:c>
    </x:row>
    <x:row r="41">
      <x:c r="A41" t="n">
        <x:v>2006</x:v>
      </x:c>
      <x:c r="B41" t="n">
        <x:v>4</x:v>
      </x:c>
      <x:c r="C41" t="str">
        <x:v>2006Q4</x:v>
      </x:c>
      <x:c r="D41" s="2" t="n">
        <x:f>IF(F41=0,"",SUMIF(Monthly_Source!$E$2:$E$356,$C41,Monthly_Source!$C$2:$C$356)/F41)</x:f>
        <x:v>58.29194759972905</x:v>
      </x:c>
      <x:c r="E41" s="2" t="n">
        <x:f>IF(F41=0,"",SUMIF(Monthly_Source!$E$2:$E$356,$C41,Monthly_Source!$D$2:$D$356)/F41)</x:f>
        <x:v>62.61827002866025</x:v>
      </x:c>
      <x:c r="F41" t="n">
        <x:f>COUNTIF(Monthly_Source!$E$2:$E$356,$C41)</x:f>
        <x:v>3</x:v>
      </x:c>
      <x:c r="G41" t="str">
        <x:f>IF(F41=3,"Complete","Incomplete - exclude from estimation")</x:f>
        <x:v>Complete</x:v>
      </x:c>
      <x:c r="H41" t="str">
        <x:v>2006-10-01</x:v>
      </x:c>
      <x:c r="I41" t="str">
        <x:v>2006-12-end</x:v>
      </x:c>
    </x:row>
    <x:row r="42">
      <x:c r="A42" t="n">
        <x:v>2007</x:v>
      </x:c>
      <x:c r="B42" t="n">
        <x:v>1</x:v>
      </x:c>
      <x:c r="C42" t="str">
        <x:v>2007Q1</x:v>
      </x:c>
      <x:c r="D42" s="2" t="n">
        <x:f>IF(F42=0,"",SUMIF(Monthly_Source!$E$2:$E$356,$C42,Monthly_Source!$C$2:$C$356)/F42)</x:f>
        <x:v>60.80985465634612</x:v>
      </x:c>
      <x:c r="E42" s="2" t="n">
        <x:f>IF(F42=0,"",SUMIF(Monthly_Source!$E$2:$E$356,$C42,Monthly_Source!$D$2:$D$356)/F42)</x:f>
        <x:v>62.53716593003228</x:v>
      </x:c>
      <x:c r="F42" t="n">
        <x:f>COUNTIF(Monthly_Source!$E$2:$E$356,$C42)</x:f>
        <x:v>3</x:v>
      </x:c>
      <x:c r="G42" t="str">
        <x:f>IF(F42=3,"Complete","Incomplete - exclude from estimation")</x:f>
        <x:v>Complete</x:v>
      </x:c>
      <x:c r="H42" t="str">
        <x:v>2007-01-01</x:v>
      </x:c>
      <x:c r="I42" t="str">
        <x:v>2007-03-end</x:v>
      </x:c>
    </x:row>
    <x:row r="43">
      <x:c r="A43" t="n">
        <x:v>2007</x:v>
      </x:c>
      <x:c r="B43" t="n">
        <x:v>2</x:v>
      </x:c>
      <x:c r="C43" t="str">
        <x:v>2007Q2</x:v>
      </x:c>
      <x:c r="D43" s="2" t="n">
        <x:f>IF(F43=0,"",SUMIF(Monthly_Source!$E$2:$E$356,$C43,Monthly_Source!$C$2:$C$356)/F43)</x:f>
        <x:v>58.488725152430476</x:v>
      </x:c>
      <x:c r="E43" s="2" t="n">
        <x:f>IF(F43=0,"",SUMIF(Monthly_Source!$E$2:$E$356,$C43,Monthly_Source!$D$2:$D$356)/F43)</x:f>
        <x:v>59.9192545196211</x:v>
      </x:c>
      <x:c r="F43" t="n">
        <x:f>COUNTIF(Monthly_Source!$E$2:$E$356,$C43)</x:f>
        <x:v>3</x:v>
      </x:c>
      <x:c r="G43" t="str">
        <x:f>IF(F43=3,"Complete","Incomplete - exclude from estimation")</x:f>
        <x:v>Complete</x:v>
      </x:c>
      <x:c r="H43" t="str">
        <x:v>2007-04-01</x:v>
      </x:c>
      <x:c r="I43" t="str">
        <x:v>2007-06-end</x:v>
      </x:c>
    </x:row>
    <x:row r="44">
      <x:c r="A44" t="n">
        <x:v>2007</x:v>
      </x:c>
      <x:c r="B44" t="n">
        <x:v>3</x:v>
      </x:c>
      <x:c r="C44" t="str">
        <x:v>2007Q3</x:v>
      </x:c>
      <x:c r="D44" s="2" t="n">
        <x:f>IF(F44=0,"",SUMIF(Monthly_Source!$E$2:$E$356,$C44,Monthly_Source!$C$2:$C$356)/F44)</x:f>
        <x:v>75.07380828728144</x:v>
      </x:c>
      <x:c r="E44" s="2" t="n">
        <x:f>IF(F44=0,"",SUMIF(Monthly_Source!$E$2:$E$356,$C44,Monthly_Source!$D$2:$D$356)/F44)</x:f>
        <x:v>74.03447745571235</x:v>
      </x:c>
      <x:c r="F44" t="n">
        <x:f>COUNTIF(Monthly_Source!$E$2:$E$356,$C44)</x:f>
        <x:v>3</x:v>
      </x:c>
      <x:c r="G44" t="str">
        <x:f>IF(F44=3,"Complete","Incomplete - exclude from estimation")</x:f>
        <x:v>Complete</x:v>
      </x:c>
      <x:c r="H44" t="str">
        <x:v>2007-07-01</x:v>
      </x:c>
      <x:c r="I44" t="str">
        <x:v>2007-09-end</x:v>
      </x:c>
    </x:row>
    <x:row r="45">
      <x:c r="A45" t="n">
        <x:v>2007</x:v>
      </x:c>
      <x:c r="B45" t="n">
        <x:v>4</x:v>
      </x:c>
      <x:c r="C45" t="str">
        <x:v>2007Q4</x:v>
      </x:c>
      <x:c r="D45" s="2" t="n">
        <x:f>IF(F45=0,"",SUMIF(Monthly_Source!$E$2:$E$356,$C45,Monthly_Source!$C$2:$C$356)/F45)</x:f>
        <x:v>86.0641570700701</x:v>
      </x:c>
      <x:c r="E45" s="2" t="n">
        <x:f>IF(F45=0,"",SUMIF(Monthly_Source!$E$2:$E$356,$C45,Monthly_Source!$D$2:$D$356)/F45)</x:f>
        <x:v>85.24994695301905</x:v>
      </x:c>
      <x:c r="F45" t="n">
        <x:f>COUNTIF(Monthly_Source!$E$2:$E$356,$C45)</x:f>
        <x:v>3</x:v>
      </x:c>
      <x:c r="G45" t="str">
        <x:f>IF(F45=3,"Complete","Incomplete - exclude from estimation")</x:f>
        <x:v>Complete</x:v>
      </x:c>
      <x:c r="H45" t="str">
        <x:v>2007-10-01</x:v>
      </x:c>
      <x:c r="I45" t="str">
        <x:v>2007-12-end</x:v>
      </x:c>
    </x:row>
    <x:row r="46">
      <x:c r="A46" t="n">
        <x:v>2008</x:v>
      </x:c>
      <x:c r="B46" t="n">
        <x:v>1</x:v>
      </x:c>
      <x:c r="C46" t="str">
        <x:v>2008Q1</x:v>
      </x:c>
      <x:c r="D46" s="2" t="n">
        <x:f>IF(F46=0,"",SUMIF(Monthly_Source!$E$2:$E$356,$C46,Monthly_Source!$C$2:$C$356)/F46)</x:f>
        <x:v>116.7904718311798</x:v>
      </x:c>
      <x:c r="E46" s="2" t="n">
        <x:f>IF(F46=0,"",SUMIF(Monthly_Source!$E$2:$E$356,$C46,Monthly_Source!$D$2:$D$356)/F46)</x:f>
        <x:v>117.84169217890611</x:v>
      </x:c>
      <x:c r="F46" t="n">
        <x:f>COUNTIF(Monthly_Source!$E$2:$E$356,$C46)</x:f>
        <x:v>3</x:v>
      </x:c>
      <x:c r="G46" t="str">
        <x:f>IF(F46=3,"Complete","Incomplete - exclude from estimation")</x:f>
        <x:v>Complete</x:v>
      </x:c>
      <x:c r="H46" t="str">
        <x:v>2008-01-01</x:v>
      </x:c>
      <x:c r="I46" t="str">
        <x:v>2008-03-end</x:v>
      </x:c>
    </x:row>
    <x:row r="47">
      <x:c r="A47" t="n">
        <x:v>2008</x:v>
      </x:c>
      <x:c r="B47" t="n">
        <x:v>2</x:v>
      </x:c>
      <x:c r="C47" t="str">
        <x:v>2008Q2</x:v>
      </x:c>
      <x:c r="D47" s="2" t="n">
        <x:f>IF(F47=0,"",SUMIF(Monthly_Source!$E$2:$E$356,$C47,Monthly_Source!$C$2:$C$356)/F47)</x:f>
        <x:v>85.40673369064969</x:v>
      </x:c>
      <x:c r="E47" s="2" t="n">
        <x:f>IF(F47=0,"",SUMIF(Monthly_Source!$E$2:$E$356,$C47,Monthly_Source!$D$2:$D$356)/F47)</x:f>
        <x:v>89.30274013074926</x:v>
      </x:c>
      <x:c r="F47" t="n">
        <x:f>COUNTIF(Monthly_Source!$E$2:$E$356,$C47)</x:f>
        <x:v>3</x:v>
      </x:c>
      <x:c r="G47" t="str">
        <x:f>IF(F47=3,"Complete","Incomplete - exclude from estimation")</x:f>
        <x:v>Complete</x:v>
      </x:c>
      <x:c r="H47" t="str">
        <x:v>2008-04-01</x:v>
      </x:c>
      <x:c r="I47" t="str">
        <x:v>2008-06-end</x:v>
      </x:c>
    </x:row>
    <x:row r="48">
      <x:c r="A48" t="n">
        <x:v>2008</x:v>
      </x:c>
      <x:c r="B48" t="n">
        <x:v>3</x:v>
      </x:c>
      <x:c r="C48" t="str">
        <x:v>2008Q3</x:v>
      </x:c>
      <x:c r="D48" s="2" t="n">
        <x:f>IF(F48=0,"",SUMIF(Monthly_Source!$E$2:$E$356,$C48,Monthly_Source!$C$2:$C$356)/F48)</x:f>
        <x:v>115.869770557587</x:v>
      </x:c>
      <x:c r="E48" s="2" t="n">
        <x:f>IF(F48=0,"",SUMIF(Monthly_Source!$E$2:$E$356,$C48,Monthly_Source!$D$2:$D$356)/F48)</x:f>
        <x:v>119.58683943771496</x:v>
      </x:c>
      <x:c r="F48" t="n">
        <x:f>COUNTIF(Monthly_Source!$E$2:$E$356,$C48)</x:f>
        <x:v>3</x:v>
      </x:c>
      <x:c r="G48" t="str">
        <x:f>IF(F48=3,"Complete","Incomplete - exclude from estimation")</x:f>
        <x:v>Complete</x:v>
      </x:c>
      <x:c r="H48" t="str">
        <x:v>2008-07-01</x:v>
      </x:c>
      <x:c r="I48" t="str">
        <x:v>2008-09-end</x:v>
      </x:c>
    </x:row>
    <x:row r="49">
      <x:c r="A49" t="n">
        <x:v>2008</x:v>
      </x:c>
      <x:c r="B49" t="n">
        <x:v>4</x:v>
      </x:c>
      <x:c r="C49" t="str">
        <x:v>2008Q4</x:v>
      </x:c>
      <x:c r="D49" s="2" t="n">
        <x:f>IF(F49=0,"",SUMIF(Monthly_Source!$E$2:$E$356,$C49,Monthly_Source!$C$2:$C$356)/F49)</x:f>
        <x:v>165.0191191224769</x:v>
      </x:c>
      <x:c r="E49" s="2" t="n">
        <x:f>IF(F49=0,"",SUMIF(Monthly_Source!$E$2:$E$356,$C49,Monthly_Source!$D$2:$D$356)/F49)</x:f>
        <x:v>166.07286189317384</x:v>
      </x:c>
      <x:c r="F49" t="n">
        <x:f>COUNTIF(Monthly_Source!$E$2:$E$356,$C49)</x:f>
        <x:v>3</x:v>
      </x:c>
      <x:c r="G49" t="str">
        <x:f>IF(F49=3,"Complete","Incomplete - exclude from estimation")</x:f>
        <x:v>Complete</x:v>
      </x:c>
      <x:c r="H49" t="str">
        <x:v>2008-10-01</x:v>
      </x:c>
      <x:c r="I49" t="str">
        <x:v>2008-12-end</x:v>
      </x:c>
    </x:row>
    <x:row r="50">
      <x:c r="A50" t="n">
        <x:v>2009</x:v>
      </x:c>
      <x:c r="B50" t="n">
        <x:v>1</x:v>
      </x:c>
      <x:c r="C50" t="str">
        <x:v>2009Q1</x:v>
      </x:c>
      <x:c r="D50" s="2" t="n">
        <x:f>IF(F50=0,"",SUMIF(Monthly_Source!$E$2:$E$356,$C50,Monthly_Source!$C$2:$C$356)/F50)</x:f>
        <x:v>141.36425785392925</x:v>
      </x:c>
      <x:c r="E50" s="2" t="n">
        <x:f>IF(F50=0,"",SUMIF(Monthly_Source!$E$2:$E$356,$C50,Monthly_Source!$D$2:$D$356)/F50)</x:f>
        <x:v>141.22967730807977</x:v>
      </x:c>
      <x:c r="F50" t="n">
        <x:f>COUNTIF(Monthly_Source!$E$2:$E$356,$C50)</x:f>
        <x:v>3</x:v>
      </x:c>
      <x:c r="G50" t="str">
        <x:f>IF(F50=3,"Complete","Incomplete - exclude from estimation")</x:f>
        <x:v>Complete</x:v>
      </x:c>
      <x:c r="H50" t="str">
        <x:v>2009-01-01</x:v>
      </x:c>
      <x:c r="I50" t="str">
        <x:v>2009-03-end</x:v>
      </x:c>
    </x:row>
    <x:row r="51">
      <x:c r="A51" t="n">
        <x:v>2009</x:v>
      </x:c>
      <x:c r="B51" t="n">
        <x:v>2</x:v>
      </x:c>
      <x:c r="C51" t="str">
        <x:v>2009Q2</x:v>
      </x:c>
      <x:c r="D51" s="2" t="n">
        <x:f>IF(F51=0,"",SUMIF(Monthly_Source!$E$2:$E$356,$C51,Monthly_Source!$C$2:$C$356)/F51)</x:f>
        <x:v>106.96663683087873</x:v>
      </x:c>
      <x:c r="E51" s="2" t="n">
        <x:f>IF(F51=0,"",SUMIF(Monthly_Source!$E$2:$E$356,$C51,Monthly_Source!$D$2:$D$356)/F51)</x:f>
        <x:v>109.44053057869155</x:v>
      </x:c>
      <x:c r="F51" t="n">
        <x:f>COUNTIF(Monthly_Source!$E$2:$E$356,$C51)</x:f>
        <x:v>3</x:v>
      </x:c>
      <x:c r="G51" t="str">
        <x:f>IF(F51=3,"Complete","Incomplete - exclude from estimation")</x:f>
        <x:v>Complete</x:v>
      </x:c>
      <x:c r="H51" t="str">
        <x:v>2009-04-01</x:v>
      </x:c>
      <x:c r="I51" t="str">
        <x:v>2009-06-end</x:v>
      </x:c>
    </x:row>
    <x:row r="52">
      <x:c r="A52" t="n">
        <x:v>2009</x:v>
      </x:c>
      <x:c r="B52" t="n">
        <x:v>3</x:v>
      </x:c>
      <x:c r="C52" t="str">
        <x:v>2009Q3</x:v>
      </x:c>
      <x:c r="D52" s="2" t="n">
        <x:f>IF(F52=0,"",SUMIF(Monthly_Source!$E$2:$E$356,$C52,Monthly_Source!$C$2:$C$356)/F52)</x:f>
        <x:v>104.29150944238471</x:v>
      </x:c>
      <x:c r="E52" s="2" t="n">
        <x:f>IF(F52=0,"",SUMIF(Monthly_Source!$E$2:$E$356,$C52,Monthly_Source!$D$2:$D$356)/F52)</x:f>
        <x:v>111.07799565111338</x:v>
      </x:c>
      <x:c r="F52" t="n">
        <x:f>COUNTIF(Monthly_Source!$E$2:$E$356,$C52)</x:f>
        <x:v>3</x:v>
      </x:c>
      <x:c r="G52" t="str">
        <x:f>IF(F52=3,"Complete","Incomplete - exclude from estimation")</x:f>
        <x:v>Complete</x:v>
      </x:c>
      <x:c r="H52" t="str">
        <x:v>2009-07-01</x:v>
      </x:c>
      <x:c r="I52" t="str">
        <x:v>2009-09-end</x:v>
      </x:c>
    </x:row>
    <x:row r="53">
      <x:c r="A53" t="n">
        <x:v>2009</x:v>
      </x:c>
      <x:c r="B53" t="n">
        <x:v>4</x:v>
      </x:c>
      <x:c r="C53" t="str">
        <x:v>2009Q4</x:v>
      </x:c>
      <x:c r="D53" s="2" t="n">
        <x:f>IF(F53=0,"",SUMIF(Monthly_Source!$E$2:$E$356,$C53,Monthly_Source!$C$2:$C$356)/F53)</x:f>
        <x:v>99.32651697700915</x:v>
      </x:c>
      <x:c r="E53" s="2" t="n">
        <x:f>IF(F53=0,"",SUMIF(Monthly_Source!$E$2:$E$356,$C53,Monthly_Source!$D$2:$D$356)/F53)</x:f>
        <x:v>101.92512617734297</x:v>
      </x:c>
      <x:c r="F53" t="n">
        <x:f>COUNTIF(Monthly_Source!$E$2:$E$356,$C53)</x:f>
        <x:v>3</x:v>
      </x:c>
      <x:c r="G53" t="str">
        <x:f>IF(F53=3,"Complete","Incomplete - exclude from estimation")</x:f>
        <x:v>Complete</x:v>
      </x:c>
      <x:c r="H53" t="str">
        <x:v>2009-10-01</x:v>
      </x:c>
      <x:c r="I53" t="str">
        <x:v>2009-12-end</x:v>
      </x:c>
    </x:row>
    <x:row r="54">
      <x:c r="A54" t="n">
        <x:v>2010</x:v>
      </x:c>
      <x:c r="B54" t="n">
        <x:v>1</x:v>
      </x:c>
      <x:c r="C54" t="str">
        <x:v>2010Q1</x:v>
      </x:c>
      <x:c r="D54" s="2" t="n">
        <x:f>IF(F54=0,"",SUMIF(Monthly_Source!$E$2:$E$356,$C54,Monthly_Source!$C$2:$C$356)/F54)</x:f>
        <x:v>114.55019995420928</x:v>
      </x:c>
      <x:c r="E54" s="2" t="n">
        <x:f>IF(F54=0,"",SUMIF(Monthly_Source!$E$2:$E$356,$C54,Monthly_Source!$D$2:$D$356)/F54)</x:f>
        <x:v>117.62433724417293</x:v>
      </x:c>
      <x:c r="F54" t="n">
        <x:f>COUNTIF(Monthly_Source!$E$2:$E$356,$C54)</x:f>
        <x:v>3</x:v>
      </x:c>
      <x:c r="G54" t="str">
        <x:f>IF(F54=3,"Complete","Incomplete - exclude from estimation")</x:f>
        <x:v>Complete</x:v>
      </x:c>
      <x:c r="H54" t="str">
        <x:v>2010-01-01</x:v>
      </x:c>
      <x:c r="I54" t="str">
        <x:v>2010-03-end</x:v>
      </x:c>
    </x:row>
    <x:row r="55">
      <x:c r="A55" t="n">
        <x:v>2010</x:v>
      </x:c>
      <x:c r="B55" t="n">
        <x:v>2</x:v>
      </x:c>
      <x:c r="C55" t="str">
        <x:v>2010Q2</x:v>
      </x:c>
      <x:c r="D55" s="2" t="n">
        <x:f>IF(F55=0,"",SUMIF(Monthly_Source!$E$2:$E$356,$C55,Monthly_Source!$C$2:$C$356)/F55)</x:f>
        <x:v>130.2199430447983</x:v>
      </x:c>
      <x:c r="E55" s="2" t="n">
        <x:f>IF(F55=0,"",SUMIF(Monthly_Source!$E$2:$E$356,$C55,Monthly_Source!$D$2:$D$356)/F55)</x:f>
        <x:v>129.1803079038941</x:v>
      </x:c>
      <x:c r="F55" t="n">
        <x:f>COUNTIF(Monthly_Source!$E$2:$E$356,$C55)</x:f>
        <x:v>3</x:v>
      </x:c>
      <x:c r="G55" t="str">
        <x:f>IF(F55=3,"Complete","Incomplete - exclude from estimation")</x:f>
        <x:v>Complete</x:v>
      </x:c>
      <x:c r="H55" t="str">
        <x:v>2010-04-01</x:v>
      </x:c>
      <x:c r="I55" t="str">
        <x:v>2010-06-end</x:v>
      </x:c>
    </x:row>
    <x:row r="56">
      <x:c r="A56" t="n">
        <x:v>2010</x:v>
      </x:c>
      <x:c r="B56" t="n">
        <x:v>3</x:v>
      </x:c>
      <x:c r="C56" t="str">
        <x:v>2010Q3</x:v>
      </x:c>
      <x:c r="D56" s="2" t="n">
        <x:f>IF(F56=0,"",SUMIF(Monthly_Source!$E$2:$E$356,$C56,Monthly_Source!$C$2:$C$356)/F56)</x:f>
        <x:v>133.95020308149387</x:v>
      </x:c>
      <x:c r="E56" s="2" t="n">
        <x:f>IF(F56=0,"",SUMIF(Monthly_Source!$E$2:$E$356,$C56,Monthly_Source!$D$2:$D$356)/F56)</x:f>
        <x:v>130.31090326193103</x:v>
      </x:c>
      <x:c r="F56" t="n">
        <x:f>COUNTIF(Monthly_Source!$E$2:$E$356,$C56)</x:f>
        <x:v>3</x:v>
      </x:c>
      <x:c r="G56" t="str">
        <x:f>IF(F56=3,"Complete","Incomplete - exclude from estimation")</x:f>
        <x:v>Complete</x:v>
      </x:c>
      <x:c r="H56" t="str">
        <x:v>2010-07-01</x:v>
      </x:c>
      <x:c r="I56" t="str">
        <x:v>2010-09-end</x:v>
      </x:c>
    </x:row>
    <x:row r="57">
      <x:c r="A57" t="n">
        <x:v>2010</x:v>
      </x:c>
      <x:c r="B57" t="n">
        <x:v>4</x:v>
      </x:c>
      <x:c r="C57" t="str">
        <x:v>2010Q4</x:v>
      </x:c>
      <x:c r="D57" s="2" t="n">
        <x:f>IF(F57=0,"",SUMIF(Monthly_Source!$E$2:$E$356,$C57,Monthly_Source!$C$2:$C$356)/F57)</x:f>
        <x:v>129.70803294188917</x:v>
      </x:c>
      <x:c r="E57" s="2" t="n">
        <x:f>IF(F57=0,"",SUMIF(Monthly_Source!$E$2:$E$356,$C57,Monthly_Source!$D$2:$D$356)/F57)</x:f>
        <x:v>128.54430689570998</x:v>
      </x:c>
      <x:c r="F57" t="n">
        <x:f>COUNTIF(Monthly_Source!$E$2:$E$356,$C57)</x:f>
        <x:v>3</x:v>
      </x:c>
      <x:c r="G57" t="str">
        <x:f>IF(F57=3,"Complete","Incomplete - exclude from estimation")</x:f>
        <x:v>Complete</x:v>
      </x:c>
      <x:c r="H57" t="str">
        <x:v>2010-10-01</x:v>
      </x:c>
      <x:c r="I57" t="str">
        <x:v>2010-12-end</x:v>
      </x:c>
    </x:row>
    <x:row r="58">
      <x:c r="A58" t="n">
        <x:v>2011</x:v>
      </x:c>
      <x:c r="B58" t="n">
        <x:v>1</x:v>
      </x:c>
      <x:c r="C58" t="str">
        <x:v>2011Q1</x:v>
      </x:c>
      <x:c r="D58" s="2" t="n">
        <x:f>IF(F58=0,"",SUMIF(Monthly_Source!$E$2:$E$356,$C58,Monthly_Source!$C$2:$C$356)/F58)</x:f>
        <x:v>112.93995779266162</x:v>
      </x:c>
      <x:c r="E58" s="2" t="n">
        <x:f>IF(F58=0,"",SUMIF(Monthly_Source!$E$2:$E$356,$C58,Monthly_Source!$D$2:$D$356)/F58)</x:f>
        <x:v>115.23262879872686</x:v>
      </x:c>
      <x:c r="F58" t="n">
        <x:f>COUNTIF(Monthly_Source!$E$2:$E$356,$C58)</x:f>
        <x:v>3</x:v>
      </x:c>
      <x:c r="G58" t="str">
        <x:f>IF(F58=3,"Complete","Incomplete - exclude from estimation")</x:f>
        <x:v>Complete</x:v>
      </x:c>
      <x:c r="H58" t="str">
        <x:v>2011-01-01</x:v>
      </x:c>
      <x:c r="I58" t="str">
        <x:v>2011-03-end</x:v>
      </x:c>
    </x:row>
    <x:row r="59">
      <x:c r="A59" t="n">
        <x:v>2011</x:v>
      </x:c>
      <x:c r="B59" t="n">
        <x:v>2</x:v>
      </x:c>
      <x:c r="C59" t="str">
        <x:v>2011Q2</x:v>
      </x:c>
      <x:c r="D59" s="2" t="n">
        <x:f>IF(F59=0,"",SUMIF(Monthly_Source!$E$2:$E$356,$C59,Monthly_Source!$C$2:$C$356)/F59)</x:f>
        <x:v>111.52901927770246</x:v>
      </x:c>
      <x:c r="E59" s="2" t="n">
        <x:f>IF(F59=0,"",SUMIF(Monthly_Source!$E$2:$E$356,$C59,Monthly_Source!$D$2:$D$356)/F59)</x:f>
        <x:v>111.78968006670993</x:v>
      </x:c>
      <x:c r="F59" t="n">
        <x:f>COUNTIF(Monthly_Source!$E$2:$E$356,$C59)</x:f>
        <x:v>3</x:v>
      </x:c>
      <x:c r="G59" t="str">
        <x:f>IF(F59=3,"Complete","Incomplete - exclude from estimation")</x:f>
        <x:v>Complete</x:v>
      </x:c>
      <x:c r="H59" t="str">
        <x:v>2011-04-01</x:v>
      </x:c>
      <x:c r="I59" t="str">
        <x:v>2011-06-end</x:v>
      </x:c>
    </x:row>
    <x:row r="60">
      <x:c r="A60" t="n">
        <x:v>2011</x:v>
      </x:c>
      <x:c r="B60" t="n">
        <x:v>3</x:v>
      </x:c>
      <x:c r="C60" t="str">
        <x:v>2011Q3</x:v>
      </x:c>
      <x:c r="D60" s="2" t="n">
        <x:f>IF(F60=0,"",SUMIF(Monthly_Source!$E$2:$E$356,$C60,Monthly_Source!$C$2:$C$356)/F60)</x:f>
        <x:v>186.5391097041883</x:v>
      </x:c>
      <x:c r="E60" s="2" t="n">
        <x:f>IF(F60=0,"",SUMIF(Monthly_Source!$E$2:$E$356,$C60,Monthly_Source!$D$2:$D$356)/F60)</x:f>
        <x:v>184.56880925988324</x:v>
      </x:c>
      <x:c r="F60" t="n">
        <x:f>COUNTIF(Monthly_Source!$E$2:$E$356,$C60)</x:f>
        <x:v>3</x:v>
      </x:c>
      <x:c r="G60" t="str">
        <x:f>IF(F60=3,"Complete","Incomplete - exclude from estimation")</x:f>
        <x:v>Complete</x:v>
      </x:c>
      <x:c r="H60" t="str">
        <x:v>2011-07-01</x:v>
      </x:c>
      <x:c r="I60" t="str">
        <x:v>2011-09-end</x:v>
      </x:c>
    </x:row>
    <x:row r="61">
      <x:c r="A61" t="n">
        <x:v>2011</x:v>
      </x:c>
      <x:c r="B61" t="n">
        <x:v>4</x:v>
      </x:c>
      <x:c r="C61" t="str">
        <x:v>2011Q4</x:v>
      </x:c>
      <x:c r="D61" s="2" t="n">
        <x:f>IF(F61=0,"",SUMIF(Monthly_Source!$E$2:$E$356,$C61,Monthly_Source!$C$2:$C$356)/F61)</x:f>
        <x:v>177.46230636862776</x:v>
      </x:c>
      <x:c r="E61" s="2" t="n">
        <x:f>IF(F61=0,"",SUMIF(Monthly_Source!$E$2:$E$356,$C61,Monthly_Source!$D$2:$D$356)/F61)</x:f>
        <x:v>181.21171687235798</x:v>
      </x:c>
      <x:c r="F61" t="n">
        <x:f>COUNTIF(Monthly_Source!$E$2:$E$356,$C61)</x:f>
        <x:v>3</x:v>
      </x:c>
      <x:c r="G61" t="str">
        <x:f>IF(F61=3,"Complete","Incomplete - exclude from estimation")</x:f>
        <x:v>Complete</x:v>
      </x:c>
      <x:c r="H61" t="str">
        <x:v>2011-10-01</x:v>
      </x:c>
      <x:c r="I61" t="str">
        <x:v>2011-12-end</x:v>
      </x:c>
    </x:row>
    <x:row r="62">
      <x:c r="A62" t="n">
        <x:v>2012</x:v>
      </x:c>
      <x:c r="B62" t="n">
        <x:v>1</x:v>
      </x:c>
      <x:c r="C62" t="str">
        <x:v>2012Q1</x:v>
      </x:c>
      <x:c r="D62" s="2" t="n">
        <x:f>IF(F62=0,"",SUMIF(Monthly_Source!$E$2:$E$356,$C62,Monthly_Source!$C$2:$C$356)/F62)</x:f>
        <x:v>141.44996560516972</x:v>
      </x:c>
      <x:c r="E62" s="2" t="n">
        <x:f>IF(F62=0,"",SUMIF(Monthly_Source!$E$2:$E$356,$C62,Monthly_Source!$D$2:$D$356)/F62)</x:f>
        <x:v>147.35409093668991</x:v>
      </x:c>
      <x:c r="F62" t="n">
        <x:f>COUNTIF(Monthly_Source!$E$2:$E$356,$C62)</x:f>
        <x:v>3</x:v>
      </x:c>
      <x:c r="G62" t="str">
        <x:f>IF(F62=3,"Complete","Incomplete - exclude from estimation")</x:f>
        <x:v>Complete</x:v>
      </x:c>
      <x:c r="H62" t="str">
        <x:v>2012-01-01</x:v>
      </x:c>
      <x:c r="I62" t="str">
        <x:v>2012-03-end</x:v>
      </x:c>
    </x:row>
    <x:row r="63">
      <x:c r="A63" t="n">
        <x:v>2012</x:v>
      </x:c>
      <x:c r="B63" t="n">
        <x:v>2</x:v>
      </x:c>
      <x:c r="C63" t="str">
        <x:v>2012Q2</x:v>
      </x:c>
      <x:c r="D63" s="2" t="n">
        <x:f>IF(F63=0,"",SUMIF(Monthly_Source!$E$2:$E$356,$C63,Monthly_Source!$C$2:$C$356)/F63)</x:f>
        <x:v>155.84561555839232</x:v>
      </x:c>
      <x:c r="E63" s="2" t="n">
        <x:f>IF(F63=0,"",SUMIF(Monthly_Source!$E$2:$E$356,$C63,Monthly_Source!$D$2:$D$356)/F63)</x:f>
        <x:v>159.448624508552</x:v>
      </x:c>
      <x:c r="F63" t="n">
        <x:f>COUNTIF(Monthly_Source!$E$2:$E$356,$C63)</x:f>
        <x:v>3</x:v>
      </x:c>
      <x:c r="G63" t="str">
        <x:f>IF(F63=3,"Complete","Incomplete - exclude from estimation")</x:f>
        <x:v>Complete</x:v>
      </x:c>
      <x:c r="H63" t="str">
        <x:v>2012-04-01</x:v>
      </x:c>
      <x:c r="I63" t="str">
        <x:v>2012-06-end</x:v>
      </x:c>
    </x:row>
    <x:row r="64">
      <x:c r="A64" t="n">
        <x:v>2012</x:v>
      </x:c>
      <x:c r="B64" t="n">
        <x:v>3</x:v>
      </x:c>
      <x:c r="C64" t="str">
        <x:v>2012Q3</x:v>
      </x:c>
      <x:c r="D64" s="2" t="n">
        <x:f>IF(F64=0,"",SUMIF(Monthly_Source!$E$2:$E$356,$C64,Monthly_Source!$C$2:$C$356)/F64)</x:f>
        <x:v>139.21928234878519</x:v>
      </x:c>
      <x:c r="E64" s="2" t="n">
        <x:f>IF(F64=0,"",SUMIF(Monthly_Source!$E$2:$E$356,$C64,Monthly_Source!$D$2:$D$356)/F64)</x:f>
        <x:v>139.72685504168615</x:v>
      </x:c>
      <x:c r="F64" t="n">
        <x:f>COUNTIF(Monthly_Source!$E$2:$E$356,$C64)</x:f>
        <x:v>3</x:v>
      </x:c>
      <x:c r="G64" t="str">
        <x:f>IF(F64=3,"Complete","Incomplete - exclude from estimation")</x:f>
        <x:v>Complete</x:v>
      </x:c>
      <x:c r="H64" t="str">
        <x:v>2012-07-01</x:v>
      </x:c>
      <x:c r="I64" t="str">
        <x:v>2012-09-end</x:v>
      </x:c>
    </x:row>
    <x:row r="65">
      <x:c r="A65" t="n">
        <x:v>2012</x:v>
      </x:c>
      <x:c r="B65" t="n">
        <x:v>4</x:v>
      </x:c>
      <x:c r="C65" t="str">
        <x:v>2012Q4</x:v>
      </x:c>
      <x:c r="D65" s="2" t="n">
        <x:f>IF(F65=0,"",SUMIF(Monthly_Source!$E$2:$E$356,$C65,Monthly_Source!$C$2:$C$356)/F65)</x:f>
        <x:v>160.3640925802147</x:v>
      </x:c>
      <x:c r="E65" s="2" t="n">
        <x:f>IF(F65=0,"",SUMIF(Monthly_Source!$E$2:$E$356,$C65,Monthly_Source!$D$2:$D$356)/F65)</x:f>
        <x:v>157.59610413238704</x:v>
      </x:c>
      <x:c r="F65" t="n">
        <x:f>COUNTIF(Monthly_Source!$E$2:$E$356,$C65)</x:f>
        <x:v>3</x:v>
      </x:c>
      <x:c r="G65" t="str">
        <x:f>IF(F65=3,"Complete","Incomplete - exclude from estimation")</x:f>
        <x:v>Complete</x:v>
      </x:c>
      <x:c r="H65" t="str">
        <x:v>2012-10-01</x:v>
      </x:c>
      <x:c r="I65" t="str">
        <x:v>2012-12-end</x:v>
      </x:c>
    </x:row>
    <x:row r="66">
      <x:c r="A66" t="n">
        <x:v>2013</x:v>
      </x:c>
      <x:c r="B66" t="n">
        <x:v>1</x:v>
      </x:c>
      <x:c r="C66" t="str">
        <x:v>2013Q1</x:v>
      </x:c>
      <x:c r="D66" s="2" t="n">
        <x:f>IF(F66=0,"",SUMIF(Monthly_Source!$E$2:$E$356,$C66,Monthly_Source!$C$2:$C$356)/F66)</x:f>
        <x:v>143.05882104622134</x:v>
      </x:c>
      <x:c r="E66" s="2" t="n">
        <x:f>IF(F66=0,"",SUMIF(Monthly_Source!$E$2:$E$356,$C66,Monthly_Source!$D$2:$D$356)/F66)</x:f>
        <x:v>141.92011833689466</x:v>
      </x:c>
      <x:c r="F66" t="n">
        <x:f>COUNTIF(Monthly_Source!$E$2:$E$356,$C66)</x:f>
        <x:v>3</x:v>
      </x:c>
      <x:c r="G66" t="str">
        <x:f>IF(F66=3,"Complete","Incomplete - exclude from estimation")</x:f>
        <x:v>Complete</x:v>
      </x:c>
      <x:c r="H66" t="str">
        <x:v>2013-01-01</x:v>
      </x:c>
      <x:c r="I66" t="str">
        <x:v>2013-03-end</x:v>
      </x:c>
    </x:row>
    <x:row r="67">
      <x:c r="A67" t="n">
        <x:v>2013</x:v>
      </x:c>
      <x:c r="B67" t="n">
        <x:v>2</x:v>
      </x:c>
      <x:c r="C67" t="str">
        <x:v>2013Q2</x:v>
      </x:c>
      <x:c r="D67" s="2" t="n">
        <x:f>IF(F67=0,"",SUMIF(Monthly_Source!$E$2:$E$356,$C67,Monthly_Source!$C$2:$C$356)/F67)</x:f>
        <x:v>122.1702321603758</x:v>
      </x:c>
      <x:c r="E67" s="2" t="n">
        <x:f>IF(F67=0,"",SUMIF(Monthly_Source!$E$2:$E$356,$C67,Monthly_Source!$D$2:$D$356)/F67)</x:f>
        <x:v>122.92645302310298</x:v>
      </x:c>
      <x:c r="F67" t="n">
        <x:f>COUNTIF(Monthly_Source!$E$2:$E$356,$C67)</x:f>
        <x:v>3</x:v>
      </x:c>
      <x:c r="G67" t="str">
        <x:f>IF(F67=3,"Complete","Incomplete - exclude from estimation")</x:f>
        <x:v>Complete</x:v>
      </x:c>
      <x:c r="H67" t="str">
        <x:v>2013-04-01</x:v>
      </x:c>
      <x:c r="I67" t="str">
        <x:v>2013-06-end</x:v>
      </x:c>
    </x:row>
    <x:row r="68">
      <x:c r="A68" t="n">
        <x:v>2013</x:v>
      </x:c>
      <x:c r="B68" t="n">
        <x:v>3</x:v>
      </x:c>
      <x:c r="C68" t="str">
        <x:v>2013Q3</x:v>
      </x:c>
      <x:c r="D68" s="2" t="n">
        <x:f>IF(F68=0,"",SUMIF(Monthly_Source!$E$2:$E$356,$C68,Monthly_Source!$C$2:$C$356)/F68)</x:f>
        <x:v>120.95441067921531</x:v>
      </x:c>
      <x:c r="E68" s="2" t="n">
        <x:f>IF(F68=0,"",SUMIF(Monthly_Source!$E$2:$E$356,$C68,Monthly_Source!$D$2:$D$356)/F68)</x:f>
        <x:v>123.25404077807303</x:v>
      </x:c>
      <x:c r="F68" t="n">
        <x:f>COUNTIF(Monthly_Source!$E$2:$E$356,$C68)</x:f>
        <x:v>3</x:v>
      </x:c>
      <x:c r="G68" t="str">
        <x:f>IF(F68=3,"Complete","Incomplete - exclude from estimation")</x:f>
        <x:v>Complete</x:v>
      </x:c>
      <x:c r="H68" t="str">
        <x:v>2013-07-01</x:v>
      </x:c>
      <x:c r="I68" t="str">
        <x:v>2013-09-end</x:v>
      </x:c>
    </x:row>
    <x:row r="69">
      <x:c r="A69" t="n">
        <x:v>2013</x:v>
      </x:c>
      <x:c r="B69" t="n">
        <x:v>4</x:v>
      </x:c>
      <x:c r="C69" t="str">
        <x:v>2013Q4</x:v>
      </x:c>
      <x:c r="D69" s="2" t="n">
        <x:f>IF(F69=0,"",SUMIF(Monthly_Source!$E$2:$E$356,$C69,Monthly_Source!$C$2:$C$356)/F69)</x:f>
        <x:v>129.6937840036036</x:v>
      </x:c>
      <x:c r="E69" s="2" t="n">
        <x:f>IF(F69=0,"",SUMIF(Monthly_Source!$E$2:$E$356,$C69,Monthly_Source!$D$2:$D$356)/F69)</x:f>
        <x:v>130.52216869301392</x:v>
      </x:c>
      <x:c r="F69" t="n">
        <x:f>COUNTIF(Monthly_Source!$E$2:$E$356,$C69)</x:f>
        <x:v>3</x:v>
      </x:c>
      <x:c r="G69" t="str">
        <x:f>IF(F69=3,"Complete","Incomplete - exclude from estimation")</x:f>
        <x:v>Complete</x:v>
      </x:c>
      <x:c r="H69" t="str">
        <x:v>2013-10-01</x:v>
      </x:c>
      <x:c r="I69" t="str">
        <x:v>2013-12-end</x:v>
      </x:c>
    </x:row>
    <x:row r="70">
      <x:c r="A70" t="n">
        <x:v>2014</x:v>
      </x:c>
      <x:c r="B70" t="n">
        <x:v>1</x:v>
      </x:c>
      <x:c r="C70" t="str">
        <x:v>2014Q1</x:v>
      </x:c>
      <x:c r="D70" s="2" t="n">
        <x:f>IF(F70=0,"",SUMIF(Monthly_Source!$E$2:$E$356,$C70,Monthly_Source!$C$2:$C$356)/F70)</x:f>
        <x:v>108.67041308947817</x:v>
      </x:c>
      <x:c r="E70" s="2" t="n">
        <x:f>IF(F70=0,"",SUMIF(Monthly_Source!$E$2:$E$356,$C70,Monthly_Source!$D$2:$D$356)/F70)</x:f>
        <x:v>108.60377702463309</x:v>
      </x:c>
      <x:c r="F70" t="n">
        <x:f>COUNTIF(Monthly_Source!$E$2:$E$356,$C70)</x:f>
        <x:v>3</x:v>
      </x:c>
      <x:c r="G70" t="str">
        <x:f>IF(F70=3,"Complete","Incomplete - exclude from estimation")</x:f>
        <x:v>Complete</x:v>
      </x:c>
      <x:c r="H70" t="str">
        <x:v>2014-01-01</x:v>
      </x:c>
      <x:c r="I70" t="str">
        <x:v>2014-03-end</x:v>
      </x:c>
    </x:row>
    <x:row r="71">
      <x:c r="A71" t="n">
        <x:v>2014</x:v>
      </x:c>
      <x:c r="B71" t="n">
        <x:v>2</x:v>
      </x:c>
      <x:c r="C71" t="str">
        <x:v>2014Q2</x:v>
      </x:c>
      <x:c r="D71" s="2" t="n">
        <x:f>IF(F71=0,"",SUMIF(Monthly_Source!$E$2:$E$356,$C71,Monthly_Source!$C$2:$C$356)/F71)</x:f>
        <x:v>101.34145082425327</x:v>
      </x:c>
      <x:c r="E71" s="2" t="n">
        <x:f>IF(F71=0,"",SUMIF(Monthly_Source!$E$2:$E$356,$C71,Monthly_Source!$D$2:$D$356)/F71)</x:f>
        <x:v>105.11062834602531</x:v>
      </x:c>
      <x:c r="F71" t="n">
        <x:f>COUNTIF(Monthly_Source!$E$2:$E$356,$C71)</x:f>
        <x:v>3</x:v>
      </x:c>
      <x:c r="G71" t="str">
        <x:f>IF(F71=3,"Complete","Incomplete - exclude from estimation")</x:f>
        <x:v>Complete</x:v>
      </x:c>
      <x:c r="H71" t="str">
        <x:v>2014-04-01</x:v>
      </x:c>
      <x:c r="I71" t="str">
        <x:v>2014-06-end</x:v>
      </x:c>
    </x:row>
    <x:row r="72">
      <x:c r="A72" t="n">
        <x:v>2014</x:v>
      </x:c>
      <x:c r="B72" t="n">
        <x:v>3</x:v>
      </x:c>
      <x:c r="C72" t="str">
        <x:v>2014Q3</x:v>
      </x:c>
      <x:c r="D72" s="2" t="n">
        <x:f>IF(F72=0,"",SUMIF(Monthly_Source!$E$2:$E$356,$C72,Monthly_Source!$C$2:$C$356)/F72)</x:f>
        <x:v>102.79816207388645</x:v>
      </x:c>
      <x:c r="E72" s="2" t="n">
        <x:f>IF(F72=0,"",SUMIF(Monthly_Source!$E$2:$E$356,$C72,Monthly_Source!$D$2:$D$356)/F72)</x:f>
        <x:v>107.77292169355944</x:v>
      </x:c>
      <x:c r="F72" t="n">
        <x:f>COUNTIF(Monthly_Source!$E$2:$E$356,$C72)</x:f>
        <x:v>3</x:v>
      </x:c>
      <x:c r="G72" t="str">
        <x:f>IF(F72=3,"Complete","Incomplete - exclude from estimation")</x:f>
        <x:v>Complete</x:v>
      </x:c>
      <x:c r="H72" t="str">
        <x:v>2014-07-01</x:v>
      </x:c>
      <x:c r="I72" t="str">
        <x:v>2014-09-end</x:v>
      </x:c>
    </x:row>
    <x:row r="73">
      <x:c r="A73" t="n">
        <x:v>2014</x:v>
      </x:c>
      <x:c r="B73" t="n">
        <x:v>4</x:v>
      </x:c>
      <x:c r="C73" t="str">
        <x:v>2014Q4</x:v>
      </x:c>
      <x:c r="D73" s="2" t="n">
        <x:f>IF(F73=0,"",SUMIF(Monthly_Source!$E$2:$E$356,$C73,Monthly_Source!$C$2:$C$356)/F73)</x:f>
        <x:v>112.6152265649987</x:v>
      </x:c>
      <x:c r="E73" s="2" t="n">
        <x:f>IF(F73=0,"",SUMIF(Monthly_Source!$E$2:$E$356,$C73,Monthly_Source!$D$2:$D$356)/F73)</x:f>
        <x:v>115.78712709386438</x:v>
      </x:c>
      <x:c r="F73" t="n">
        <x:f>COUNTIF(Monthly_Source!$E$2:$E$356,$C73)</x:f>
        <x:v>3</x:v>
      </x:c>
      <x:c r="G73" t="str">
        <x:f>IF(F73=3,"Complete","Incomplete - exclude from estimation")</x:f>
        <x:v>Complete</x:v>
      </x:c>
      <x:c r="H73" t="str">
        <x:v>2014-10-01</x:v>
      </x:c>
      <x:c r="I73" t="str">
        <x:v>2014-12-end</x:v>
      </x:c>
    </x:row>
    <x:row r="74">
      <x:c r="A74" t="n">
        <x:v>2015</x:v>
      </x:c>
      <x:c r="B74" t="n">
        <x:v>1</x:v>
      </x:c>
      <x:c r="C74" t="str">
        <x:v>2015Q1</x:v>
      </x:c>
      <x:c r="D74" s="2" t="n">
        <x:f>IF(F74=0,"",SUMIF(Monthly_Source!$E$2:$E$356,$C74,Monthly_Source!$C$2:$C$356)/F74)</x:f>
        <x:v>116.95964223530899</x:v>
      </x:c>
      <x:c r="E74" s="2" t="n">
        <x:f>IF(F74=0,"",SUMIF(Monthly_Source!$E$2:$E$356,$C74,Monthly_Source!$D$2:$D$356)/F74)</x:f>
        <x:v>121.85951167735472</x:v>
      </x:c>
      <x:c r="F74" t="n">
        <x:f>COUNTIF(Monthly_Source!$E$2:$E$356,$C74)</x:f>
        <x:v>3</x:v>
      </x:c>
      <x:c r="G74" t="str">
        <x:f>IF(F74=3,"Complete","Incomplete - exclude from estimation")</x:f>
        <x:v>Complete</x:v>
      </x:c>
      <x:c r="H74" t="str">
        <x:v>2015-01-01</x:v>
      </x:c>
      <x:c r="I74" t="str">
        <x:v>2015-03-end</x:v>
      </x:c>
    </x:row>
    <x:row r="75">
      <x:c r="A75" t="n">
        <x:v>2015</x:v>
      </x:c>
      <x:c r="B75" t="n">
        <x:v>2</x:v>
      </x:c>
      <x:c r="C75" t="str">
        <x:v>2015Q2</x:v>
      </x:c>
      <x:c r="D75" s="2" t="n">
        <x:f>IF(F75=0,"",SUMIF(Monthly_Source!$E$2:$E$356,$C75,Monthly_Source!$C$2:$C$356)/F75)</x:f>
        <x:v>106.7635228791956</x:v>
      </x:c>
      <x:c r="E75" s="2" t="n">
        <x:f>IF(F75=0,"",SUMIF(Monthly_Source!$E$2:$E$356,$C75,Monthly_Source!$D$2:$D$356)/F75)</x:f>
        <x:v>104.59471658001036</x:v>
      </x:c>
      <x:c r="F75" t="n">
        <x:f>COUNTIF(Monthly_Source!$E$2:$E$356,$C75)</x:f>
        <x:v>3</x:v>
      </x:c>
      <x:c r="G75" t="str">
        <x:f>IF(F75=3,"Complete","Incomplete - exclude from estimation")</x:f>
        <x:v>Complete</x:v>
      </x:c>
      <x:c r="H75" t="str">
        <x:v>2015-04-01</x:v>
      </x:c>
      <x:c r="I75" t="str">
        <x:v>2015-06-end</x:v>
      </x:c>
    </x:row>
    <x:row r="76">
      <x:c r="A76" t="n">
        <x:v>2015</x:v>
      </x:c>
      <x:c r="B76" t="n">
        <x:v>3</x:v>
      </x:c>
      <x:c r="C76" t="str">
        <x:v>2015Q3</x:v>
      </x:c>
      <x:c r="D76" s="2" t="n">
        <x:f>IF(F76=0,"",SUMIF(Monthly_Source!$E$2:$E$356,$C76,Monthly_Source!$C$2:$C$356)/F76)</x:f>
        <x:v>130.75410814161106</x:v>
      </x:c>
      <x:c r="E76" s="2" t="n">
        <x:f>IF(F76=0,"",SUMIF(Monthly_Source!$E$2:$E$356,$C76,Monthly_Source!$D$2:$D$356)/F76)</x:f>
        <x:v>128.70639130886627</x:v>
      </x:c>
      <x:c r="F76" t="n">
        <x:f>COUNTIF(Monthly_Source!$E$2:$E$356,$C76)</x:f>
        <x:v>3</x:v>
      </x:c>
      <x:c r="G76" t="str">
        <x:f>IF(F76=3,"Complete","Incomplete - exclude from estimation")</x:f>
        <x:v>Complete</x:v>
      </x:c>
      <x:c r="H76" t="str">
        <x:v>2015-07-01</x:v>
      </x:c>
      <x:c r="I76" t="str">
        <x:v>2015-09-end</x:v>
      </x:c>
    </x:row>
    <x:row r="77">
      <x:c r="A77" t="n">
        <x:v>2015</x:v>
      </x:c>
      <x:c r="B77" t="n">
        <x:v>4</x:v>
      </x:c>
      <x:c r="C77" t="str">
        <x:v>2015Q4</x:v>
      </x:c>
      <x:c r="D77" s="2" t="n">
        <x:f>IF(F77=0,"",SUMIF(Monthly_Source!$E$2:$E$356,$C77,Monthly_Source!$C$2:$C$356)/F77)</x:f>
        <x:v>109.50445811410634</x:v>
      </x:c>
      <x:c r="E77" s="2" t="n">
        <x:f>IF(F77=0,"",SUMIF(Monthly_Source!$E$2:$E$356,$C77,Monthly_Source!$D$2:$D$356)/F77)</x:f>
        <x:v>109.68771914444336</x:v>
      </x:c>
      <x:c r="F77" t="n">
        <x:f>COUNTIF(Monthly_Source!$E$2:$E$356,$C77)</x:f>
        <x:v>3</x:v>
      </x:c>
      <x:c r="G77" t="str">
        <x:f>IF(F77=3,"Complete","Incomplete - exclude from estimation")</x:f>
        <x:v>Complete</x:v>
      </x:c>
      <x:c r="H77" t="str">
        <x:v>2015-10-01</x:v>
      </x:c>
      <x:c r="I77" t="str">
        <x:v>2015-12-end</x:v>
      </x:c>
    </x:row>
    <x:row r="78">
      <x:c r="A78" t="n">
        <x:v>2016</x:v>
      </x:c>
      <x:c r="B78" t="n">
        <x:v>1</x:v>
      </x:c>
      <x:c r="C78" t="str">
        <x:v>2016Q1</x:v>
      </x:c>
      <x:c r="D78" s="2" t="n">
        <x:f>IF(F78=0,"",SUMIF(Monthly_Source!$E$2:$E$356,$C78,Monthly_Source!$C$2:$C$356)/F78)</x:f>
        <x:v>148.49435400892057</x:v>
      </x:c>
      <x:c r="E78" s="2" t="n">
        <x:f>IF(F78=0,"",SUMIF(Monthly_Source!$E$2:$E$356,$C78,Monthly_Source!$D$2:$D$356)/F78)</x:f>
        <x:v>145.99056177160764</x:v>
      </x:c>
      <x:c r="F78" t="n">
        <x:f>COUNTIF(Monthly_Source!$E$2:$E$356,$C78)</x:f>
        <x:v>3</x:v>
      </x:c>
      <x:c r="G78" t="str">
        <x:f>IF(F78=3,"Complete","Incomplete - exclude from estimation")</x:f>
        <x:v>Complete</x:v>
      </x:c>
      <x:c r="H78" t="str">
        <x:v>2016-01-01</x:v>
      </x:c>
      <x:c r="I78" t="str">
        <x:v>2016-03-end</x:v>
      </x:c>
    </x:row>
    <x:row r="79">
      <x:c r="A79" t="n">
        <x:v>2016</x:v>
      </x:c>
      <x:c r="B79" t="n">
        <x:v>2</x:v>
      </x:c>
      <x:c r="C79" t="str">
        <x:v>2016Q2</x:v>
      </x:c>
      <x:c r="D79" s="2" t="n">
        <x:f>IF(F79=0,"",SUMIF(Monthly_Source!$E$2:$E$356,$C79,Monthly_Source!$C$2:$C$356)/F79)</x:f>
        <x:v>163.84393584158406</x:v>
      </x:c>
      <x:c r="E79" s="2" t="n">
        <x:f>IF(F79=0,"",SUMIF(Monthly_Source!$E$2:$E$356,$C79,Monthly_Source!$D$2:$D$356)/F79)</x:f>
        <x:v>159.0965461257674</x:v>
      </x:c>
      <x:c r="F79" t="n">
        <x:f>COUNTIF(Monthly_Source!$E$2:$E$356,$C79)</x:f>
        <x:v>3</x:v>
      </x:c>
      <x:c r="G79" t="str">
        <x:f>IF(F79=3,"Complete","Incomplete - exclude from estimation")</x:f>
        <x:v>Complete</x:v>
      </x:c>
      <x:c r="H79" t="str">
        <x:v>2016-04-01</x:v>
      </x:c>
      <x:c r="I79" t="str">
        <x:v>2016-06-end</x:v>
      </x:c>
    </x:row>
    <x:row r="80">
      <x:c r="A80" t="n">
        <x:v>2016</x:v>
      </x:c>
      <x:c r="B80" t="n">
        <x:v>3</x:v>
      </x:c>
      <x:c r="C80" t="str">
        <x:v>2016Q3</x:v>
      </x:c>
      <x:c r="D80" s="2" t="n">
        <x:f>IF(F80=0,"",SUMIF(Monthly_Source!$E$2:$E$356,$C80,Monthly_Source!$C$2:$C$356)/F80)</x:f>
        <x:v>156.359435185376</x:v>
      </x:c>
      <x:c r="E80" s="2" t="n">
        <x:f>IF(F80=0,"",SUMIF(Monthly_Source!$E$2:$E$356,$C80,Monthly_Source!$D$2:$D$356)/F80)</x:f>
        <x:v>151.13550512894793</x:v>
      </x:c>
      <x:c r="F80" t="n">
        <x:f>COUNTIF(Monthly_Source!$E$2:$E$356,$C80)</x:f>
        <x:v>3</x:v>
      </x:c>
      <x:c r="G80" t="str">
        <x:f>IF(F80=3,"Complete","Incomplete - exclude from estimation")</x:f>
        <x:v>Complete</x:v>
      </x:c>
      <x:c r="H80" t="str">
        <x:v>2016-07-01</x:v>
      </x:c>
      <x:c r="I80" t="str">
        <x:v>2016-09-end</x:v>
      </x:c>
    </x:row>
    <x:row r="81">
      <x:c r="A81" t="n">
        <x:v>2016</x:v>
      </x:c>
      <x:c r="B81" t="n">
        <x:v>4</x:v>
      </x:c>
      <x:c r="C81" t="str">
        <x:v>2016Q4</x:v>
      </x:c>
      <x:c r="D81" s="2" t="n">
        <x:f>IF(F81=0,"",SUMIF(Monthly_Source!$E$2:$E$356,$C81,Monthly_Source!$C$2:$C$356)/F81)</x:f>
        <x:v>178.37338312655405</x:v>
      </x:c>
      <x:c r="E81" s="2" t="n">
        <x:f>IF(F81=0,"",SUMIF(Monthly_Source!$E$2:$E$356,$C81,Monthly_Source!$D$2:$D$356)/F81)</x:f>
        <x:v>171.61427564909727</x:v>
      </x:c>
      <x:c r="F81" t="n">
        <x:f>COUNTIF(Monthly_Source!$E$2:$E$356,$C81)</x:f>
        <x:v>3</x:v>
      </x:c>
      <x:c r="G81" t="str">
        <x:f>IF(F81=3,"Complete","Incomplete - exclude from estimation")</x:f>
        <x:v>Complete</x:v>
      </x:c>
      <x:c r="H81" t="str">
        <x:v>2016-10-01</x:v>
      </x:c>
      <x:c r="I81" t="str">
        <x:v>2016-12-end</x:v>
      </x:c>
    </x:row>
    <x:row r="82">
      <x:c r="A82" t="n">
        <x:v>2017</x:v>
      </x:c>
      <x:c r="B82" t="n">
        <x:v>1</x:v>
      </x:c>
      <x:c r="C82" t="str">
        <x:v>2017Q1</x:v>
      </x:c>
      <x:c r="D82" s="2" t="n">
        <x:f>IF(F82=0,"",SUMIF(Monthly_Source!$E$2:$E$356,$C82,Monthly_Source!$C$2:$C$356)/F82)</x:f>
        <x:v>221.58166168904145</x:v>
      </x:c>
      <x:c r="E82" s="2" t="n">
        <x:f>IF(F82=0,"",SUMIF(Monthly_Source!$E$2:$E$356,$C82,Monthly_Source!$D$2:$D$356)/F82)</x:f>
        <x:v>227.67765042990584</x:v>
      </x:c>
      <x:c r="F82" t="n">
        <x:f>COUNTIF(Monthly_Source!$E$2:$E$356,$C82)</x:f>
        <x:v>3</x:v>
      </x:c>
      <x:c r="G82" t="str">
        <x:f>IF(F82=3,"Complete","Incomplete - exclude from estimation")</x:f>
        <x:v>Complete</x:v>
      </x:c>
      <x:c r="H82" t="str">
        <x:v>2017-01-01</x:v>
      </x:c>
      <x:c r="I82" t="str">
        <x:v>2017-03-end</x:v>
      </x:c>
    </x:row>
    <x:row r="83">
      <x:c r="A83" t="n">
        <x:v>2017</x:v>
      </x:c>
      <x:c r="B83" t="n">
        <x:v>2</x:v>
      </x:c>
      <x:c r="C83" t="str">
        <x:v>2017Q2</x:v>
      </x:c>
      <x:c r="D83" s="2" t="n">
        <x:f>IF(F83=0,"",SUMIF(Monthly_Source!$E$2:$E$356,$C83,Monthly_Source!$C$2:$C$356)/F83)</x:f>
        <x:v>162.09726397956396</x:v>
      </x:c>
      <x:c r="E83" s="2" t="n">
        <x:f>IF(F83=0,"",SUMIF(Monthly_Source!$E$2:$E$356,$C83,Monthly_Source!$D$2:$D$356)/F83)</x:f>
        <x:v>161.0045521060279</x:v>
      </x:c>
      <x:c r="F83" t="n">
        <x:f>COUNTIF(Monthly_Source!$E$2:$E$356,$C83)</x:f>
        <x:v>3</x:v>
      </x:c>
      <x:c r="G83" t="str">
        <x:f>IF(F83=3,"Complete","Incomplete - exclude from estimation")</x:f>
        <x:v>Complete</x:v>
      </x:c>
      <x:c r="H83" t="str">
        <x:v>2017-04-01</x:v>
      </x:c>
      <x:c r="I83" t="str">
        <x:v>2017-06-end</x:v>
      </x:c>
    </x:row>
    <x:row r="84">
      <x:c r="A84" t="n">
        <x:v>2017</x:v>
      </x:c>
      <x:c r="B84" t="n">
        <x:v>3</x:v>
      </x:c>
      <x:c r="C84" t="str">
        <x:v>2017Q3</x:v>
      </x:c>
      <x:c r="D84" s="2" t="n">
        <x:f>IF(F84=0,"",SUMIF(Monthly_Source!$E$2:$E$356,$C84,Monthly_Source!$C$2:$C$356)/F84)</x:f>
        <x:v>152.60127662724344</x:v>
      </x:c>
      <x:c r="E84" s="2" t="n">
        <x:f>IF(F84=0,"",SUMIF(Monthly_Source!$E$2:$E$356,$C84,Monthly_Source!$D$2:$D$356)/F84)</x:f>
        <x:v>154.95929460995185</x:v>
      </x:c>
      <x:c r="F84" t="n">
        <x:f>COUNTIF(Monthly_Source!$E$2:$E$356,$C84)</x:f>
        <x:v>3</x:v>
      </x:c>
      <x:c r="G84" t="str">
        <x:f>IF(F84=3,"Complete","Incomplete - exclude from estimation")</x:f>
        <x:v>Complete</x:v>
      </x:c>
      <x:c r="H84" t="str">
        <x:v>2017-07-01</x:v>
      </x:c>
      <x:c r="I84" t="str">
        <x:v>2017-09-end</x:v>
      </x:c>
    </x:row>
    <x:row r="85">
      <x:c r="A85" t="n">
        <x:v>2017</x:v>
      </x:c>
      <x:c r="B85" t="n">
        <x:v>4</x:v>
      </x:c>
      <x:c r="C85" t="str">
        <x:v>2017Q4</x:v>
      </x:c>
      <x:c r="D85" s="2" t="n">
        <x:f>IF(F85=0,"",SUMIF(Monthly_Source!$E$2:$E$356,$C85,Monthly_Source!$C$2:$C$356)/F85)</x:f>
        <x:v>149.35020813572768</x:v>
      </x:c>
      <x:c r="E85" s="2" t="n">
        <x:f>IF(F85=0,"",SUMIF(Monthly_Source!$E$2:$E$356,$C85,Monthly_Source!$D$2:$D$356)/F85)</x:f>
        <x:v>154.18732513889856</x:v>
      </x:c>
      <x:c r="F85" t="n">
        <x:f>COUNTIF(Monthly_Source!$E$2:$E$356,$C85)</x:f>
        <x:v>3</x:v>
      </x:c>
      <x:c r="G85" t="str">
        <x:f>IF(F85=3,"Complete","Incomplete - exclude from estimation")</x:f>
        <x:v>Complete</x:v>
      </x:c>
      <x:c r="H85" t="str">
        <x:v>2017-10-01</x:v>
      </x:c>
      <x:c r="I85" t="str">
        <x:v>2017-12-end</x:v>
      </x:c>
    </x:row>
    <x:row r="86">
      <x:c r="A86" t="n">
        <x:v>2018</x:v>
      </x:c>
      <x:c r="B86" t="n">
        <x:v>1</x:v>
      </x:c>
      <x:c r="C86" t="str">
        <x:v>2018Q1</x:v>
      </x:c>
      <x:c r="D86" s="2" t="n">
        <x:f>IF(F86=0,"",SUMIF(Monthly_Source!$E$2:$E$356,$C86,Monthly_Source!$C$2:$C$356)/F86)</x:f>
        <x:v>159.83260770639777</x:v>
      </x:c>
      <x:c r="E86" s="2" t="n">
        <x:f>IF(F86=0,"",SUMIF(Monthly_Source!$E$2:$E$356,$C86,Monthly_Source!$D$2:$D$356)/F86)</x:f>
        <x:v>159.66828769560348</x:v>
      </x:c>
      <x:c r="F86" t="n">
        <x:f>COUNTIF(Monthly_Source!$E$2:$E$356,$C86)</x:f>
        <x:v>3</x:v>
      </x:c>
      <x:c r="G86" t="str">
        <x:f>IF(F86=3,"Complete","Incomplete - exclude from estimation")</x:f>
        <x:v>Complete</x:v>
      </x:c>
      <x:c r="H86" t="str">
        <x:v>2018-01-01</x:v>
      </x:c>
      <x:c r="I86" t="str">
        <x:v>2018-03-end</x:v>
      </x:c>
    </x:row>
    <x:row r="87">
      <x:c r="A87" t="n">
        <x:v>2018</x:v>
      </x:c>
      <x:c r="B87" t="n">
        <x:v>2</x:v>
      </x:c>
      <x:c r="C87" t="str">
        <x:v>2018Q2</x:v>
      </x:c>
      <x:c r="D87" s="2" t="n">
        <x:f>IF(F87=0,"",SUMIF(Monthly_Source!$E$2:$E$356,$C87,Monthly_Source!$C$2:$C$356)/F87)</x:f>
        <x:v>165.61246006885912</x:v>
      </x:c>
      <x:c r="E87" s="2" t="n">
        <x:f>IF(F87=0,"",SUMIF(Monthly_Source!$E$2:$E$356,$C87,Monthly_Source!$D$2:$D$356)/F87)</x:f>
        <x:v>166.25213539531646</x:v>
      </x:c>
      <x:c r="F87" t="n">
        <x:f>COUNTIF(Monthly_Source!$E$2:$E$356,$C87)</x:f>
        <x:v>3</x:v>
      </x:c>
      <x:c r="G87" t="str">
        <x:f>IF(F87=3,"Complete","Incomplete - exclude from estimation")</x:f>
        <x:v>Complete</x:v>
      </x:c>
      <x:c r="H87" t="str">
        <x:v>2018-04-01</x:v>
      </x:c>
      <x:c r="I87" t="str">
        <x:v>2018-06-end</x:v>
      </x:c>
    </x:row>
    <x:row r="88">
      <x:c r="A88" t="n">
        <x:v>2018</x:v>
      </x:c>
      <x:c r="B88" t="n">
        <x:v>3</x:v>
      </x:c>
      <x:c r="C88" t="str">
        <x:v>2018Q3</x:v>
      </x:c>
      <x:c r="D88" s="2" t="n">
        <x:f>IF(F88=0,"",SUMIF(Monthly_Source!$E$2:$E$356,$C88,Monthly_Source!$C$2:$C$356)/F88)</x:f>
        <x:v>195.70846586136972</x:v>
      </x:c>
      <x:c r="E88" s="2" t="n">
        <x:f>IF(F88=0,"",SUMIF(Monthly_Source!$E$2:$E$356,$C88,Monthly_Source!$D$2:$D$356)/F88)</x:f>
        <x:v>203.61143087425026</x:v>
      </x:c>
      <x:c r="F88" t="n">
        <x:f>COUNTIF(Monthly_Source!$E$2:$E$356,$C88)</x:f>
        <x:v>3</x:v>
      </x:c>
      <x:c r="G88" t="str">
        <x:f>IF(F88=3,"Complete","Incomplete - exclude from estimation")</x:f>
        <x:v>Complete</x:v>
      </x:c>
      <x:c r="H88" t="str">
        <x:v>2018-07-01</x:v>
      </x:c>
      <x:c r="I88" t="str">
        <x:v>2018-09-end</x:v>
      </x:c>
    </x:row>
    <x:row r="89">
      <x:c r="A89" t="n">
        <x:v>2018</x:v>
      </x:c>
      <x:c r="B89" t="n">
        <x:v>4</x:v>
      </x:c>
      <x:c r="C89" t="str">
        <x:v>2018Q4</x:v>
      </x:c>
      <x:c r="D89" s="2" t="n">
        <x:f>IF(F89=0,"",SUMIF(Monthly_Source!$E$2:$E$356,$C89,Monthly_Source!$C$2:$C$356)/F89)</x:f>
        <x:v>225.05196123725818</x:v>
      </x:c>
      <x:c r="E89" s="2" t="n">
        <x:f>IF(F89=0,"",SUMIF(Monthly_Source!$E$2:$E$356,$C89,Monthly_Source!$D$2:$D$356)/F89)</x:f>
        <x:v>231.29823835309904</x:v>
      </x:c>
      <x:c r="F89" t="n">
        <x:f>COUNTIF(Monthly_Source!$E$2:$E$356,$C89)</x:f>
        <x:v>3</x:v>
      </x:c>
      <x:c r="G89" t="str">
        <x:f>IF(F89=3,"Complete","Incomplete - exclude from estimation")</x:f>
        <x:v>Complete</x:v>
      </x:c>
      <x:c r="H89" t="str">
        <x:v>2018-10-01</x:v>
      </x:c>
      <x:c r="I89" t="str">
        <x:v>2018-12-end</x:v>
      </x:c>
    </x:row>
    <x:row r="90">
      <x:c r="A90" t="n">
        <x:v>2019</x:v>
      </x:c>
      <x:c r="B90" t="n">
        <x:v>1</x:v>
      </x:c>
      <x:c r="C90" t="str">
        <x:v>2019Q1</x:v>
      </x:c>
      <x:c r="D90" s="2" t="n">
        <x:f>IF(F90=0,"",SUMIF(Monthly_Source!$E$2:$E$356,$C90,Monthly_Source!$C$2:$C$356)/F90)</x:f>
        <x:v>217.37760540357735</x:v>
      </x:c>
      <x:c r="E90" s="2" t="n">
        <x:f>IF(F90=0,"",SUMIF(Monthly_Source!$E$2:$E$356,$C90,Monthly_Source!$D$2:$D$356)/F90)</x:f>
        <x:v>219.75566202892674</x:v>
      </x:c>
      <x:c r="F90" t="n">
        <x:f>COUNTIF(Monthly_Source!$E$2:$E$356,$C90)</x:f>
        <x:v>3</x:v>
      </x:c>
      <x:c r="G90" t="str">
        <x:f>IF(F90=3,"Complete","Incomplete - exclude from estimation")</x:f>
        <x:v>Complete</x:v>
      </x:c>
      <x:c r="H90" t="str">
        <x:v>2019-01-01</x:v>
      </x:c>
      <x:c r="I90" t="str">
        <x:v>2019-03-end</x:v>
      </x:c>
    </x:row>
    <x:row r="91">
      <x:c r="A91" t="n">
        <x:v>2019</x:v>
      </x:c>
      <x:c r="B91" t="n">
        <x:v>2</x:v>
      </x:c>
      <x:c r="C91" t="str">
        <x:v>2019Q2</x:v>
      </x:c>
      <x:c r="D91" s="2" t="n">
        <x:f>IF(F91=0,"",SUMIF(Monthly_Source!$E$2:$E$356,$C91,Monthly_Source!$C$2:$C$356)/F91)</x:f>
        <x:v>242.3348081071275</x:v>
      </x:c>
      <x:c r="E91" s="2" t="n">
        <x:f>IF(F91=0,"",SUMIF(Monthly_Source!$E$2:$E$356,$C91,Monthly_Source!$D$2:$D$356)/F91)</x:f>
        <x:v>257.72480311423686</x:v>
      </x:c>
      <x:c r="F91" t="n">
        <x:f>COUNTIF(Monthly_Source!$E$2:$E$356,$C91)</x:f>
        <x:v>3</x:v>
      </x:c>
      <x:c r="G91" t="str">
        <x:f>IF(F91=3,"Complete","Incomplete - exclude from estimation")</x:f>
        <x:v>Complete</x:v>
      </x:c>
      <x:c r="H91" t="str">
        <x:v>2019-04-01</x:v>
      </x:c>
      <x:c r="I91" t="str">
        <x:v>2019-06-end</x:v>
      </x:c>
    </x:row>
    <x:row r="92">
      <x:c r="A92" t="n">
        <x:v>2019</x:v>
      </x:c>
      <x:c r="B92" t="n">
        <x:v>3</x:v>
      </x:c>
      <x:c r="C92" t="str">
        <x:v>2019Q3</x:v>
      </x:c>
      <x:c r="D92" s="2" t="n">
        <x:f>IF(F92=0,"",SUMIF(Monthly_Source!$E$2:$E$356,$C92,Monthly_Source!$C$2:$C$356)/F92)</x:f>
        <x:v>256.97490294215055</x:v>
      </x:c>
      <x:c r="E92" s="2" t="n">
        <x:f>IF(F92=0,"",SUMIF(Monthly_Source!$E$2:$E$356,$C92,Monthly_Source!$D$2:$D$356)/F92)</x:f>
        <x:v>262.2174178954795</x:v>
      </x:c>
      <x:c r="F92" t="n">
        <x:f>COUNTIF(Monthly_Source!$E$2:$E$356,$C92)</x:f>
        <x:v>3</x:v>
      </x:c>
      <x:c r="G92" t="str">
        <x:f>IF(F92=3,"Complete","Incomplete - exclude from estimation")</x:f>
        <x:v>Complete</x:v>
      </x:c>
      <x:c r="H92" t="str">
        <x:v>2019-07-01</x:v>
      </x:c>
      <x:c r="I92" t="str">
        <x:v>2019-09-end</x:v>
      </x:c>
    </x:row>
    <x:row r="93">
      <x:c r="A93" t="n">
        <x:v>2019</x:v>
      </x:c>
      <x:c r="B93" t="n">
        <x:v>4</x:v>
      </x:c>
      <x:c r="C93" t="str">
        <x:v>2019Q4</x:v>
      </x:c>
      <x:c r="D93" s="2" t="n">
        <x:f>IF(F93=0,"",SUMIF(Monthly_Source!$E$2:$E$356,$C93,Monthly_Source!$C$2:$C$356)/F93)</x:f>
        <x:v>224.09019606643474</x:v>
      </x:c>
      <x:c r="E93" s="2" t="n">
        <x:f>IF(F93=0,"",SUMIF(Monthly_Source!$E$2:$E$356,$C93,Monthly_Source!$D$2:$D$356)/F93)</x:f>
        <x:v>233.71309575541252</x:v>
      </x:c>
      <x:c r="F93" t="n">
        <x:f>COUNTIF(Monthly_Source!$E$2:$E$356,$C93)</x:f>
        <x:v>3</x:v>
      </x:c>
      <x:c r="G93" t="str">
        <x:f>IF(F93=3,"Complete","Incomplete - exclude from estimation")</x:f>
        <x:v>Complete</x:v>
      </x:c>
      <x:c r="H93" t="str">
        <x:v>2019-10-01</x:v>
      </x:c>
      <x:c r="I93" t="str">
        <x:v>2019-12-end</x:v>
      </x:c>
    </x:row>
    <x:row r="94">
      <x:c r="A94" t="n">
        <x:v>2020</x:v>
      </x:c>
      <x:c r="B94" t="n">
        <x:v>1</x:v>
      </x:c>
      <x:c r="C94" t="str">
        <x:v>2020Q1</x:v>
      </x:c>
      <x:c r="D94" s="2" t="n">
        <x:f>IF(F94=0,"",SUMIF(Monthly_Source!$E$2:$E$356,$C94,Monthly_Source!$C$2:$C$356)/F94)</x:f>
        <x:v>233.48681388301023</x:v>
      </x:c>
      <x:c r="E94" s="2" t="n">
        <x:f>IF(F94=0,"",SUMIF(Monthly_Source!$E$2:$E$356,$C94,Monthly_Source!$D$2:$D$356)/F94)</x:f>
        <x:v>232.10068028812125</x:v>
      </x:c>
      <x:c r="F94" t="n">
        <x:f>COUNTIF(Monthly_Source!$E$2:$E$356,$C94)</x:f>
        <x:v>3</x:v>
      </x:c>
      <x:c r="G94" t="str">
        <x:f>IF(F94=3,"Complete","Incomplete - exclude from estimation")</x:f>
        <x:v>Complete</x:v>
      </x:c>
      <x:c r="H94" t="str">
        <x:v>2020-01-01</x:v>
      </x:c>
      <x:c r="I94" t="str">
        <x:v>2020-03-end</x:v>
      </x:c>
    </x:row>
    <x:row r="95">
      <x:c r="A95" t="n">
        <x:v>2020</x:v>
      </x:c>
      <x:c r="B95" t="n">
        <x:v>2</x:v>
      </x:c>
      <x:c r="C95" t="str">
        <x:v>2020Q2</x:v>
      </x:c>
      <x:c r="D95" s="2" t="n">
        <x:f>IF(F95=0,"",SUMIF(Monthly_Source!$E$2:$E$356,$C95,Monthly_Source!$C$2:$C$356)/F95)</x:f>
        <x:v>347.4521095329044</x:v>
      </x:c>
      <x:c r="E95" s="2" t="n">
        <x:f>IF(F95=0,"",SUMIF(Monthly_Source!$E$2:$E$356,$C95,Monthly_Source!$D$2:$D$356)/F95)</x:f>
        <x:v>352.7825669389487</x:v>
      </x:c>
      <x:c r="F95" t="n">
        <x:f>COUNTIF(Monthly_Source!$E$2:$E$356,$C95)</x:f>
        <x:v>3</x:v>
      </x:c>
      <x:c r="G95" t="str">
        <x:f>IF(F95=3,"Complete","Incomplete - exclude from estimation")</x:f>
        <x:v>Complete</x:v>
      </x:c>
      <x:c r="H95" t="str">
        <x:v>2020-04-01</x:v>
      </x:c>
      <x:c r="I95" t="str">
        <x:v>2020-06-end</x:v>
      </x:c>
    </x:row>
    <x:row r="96">
      <x:c r="A96" t="n">
        <x:v>2020</x:v>
      </x:c>
      <x:c r="B96" t="n">
        <x:v>3</x:v>
      </x:c>
      <x:c r="C96" t="str">
        <x:v>2020Q3</x:v>
      </x:c>
      <x:c r="D96" s="2" t="n">
        <x:f>IF(F96=0,"",SUMIF(Monthly_Source!$E$2:$E$356,$C96,Monthly_Source!$C$2:$C$356)/F96)</x:f>
        <x:v>300.2566806523523</x:v>
      </x:c>
      <x:c r="E96" s="2" t="n">
        <x:f>IF(F96=0,"",SUMIF(Monthly_Source!$E$2:$E$356,$C96,Monthly_Source!$D$2:$D$356)/F96)</x:f>
        <x:v>304.2195572900844</x:v>
      </x:c>
      <x:c r="F96" t="n">
        <x:f>COUNTIF(Monthly_Source!$E$2:$E$356,$C96)</x:f>
        <x:v>3</x:v>
      </x:c>
      <x:c r="G96" t="str">
        <x:f>IF(F96=3,"Complete","Incomplete - exclude from estimation")</x:f>
        <x:v>Complete</x:v>
      </x:c>
      <x:c r="H96" t="str">
        <x:v>2020-07-01</x:v>
      </x:c>
      <x:c r="I96" t="str">
        <x:v>2020-09-end</x:v>
      </x:c>
    </x:row>
    <x:row r="97">
      <x:c r="A97" t="n">
        <x:v>2020</x:v>
      </x:c>
      <x:c r="B97" t="n">
        <x:v>4</x:v>
      </x:c>
      <x:c r="C97" t="str">
        <x:v>2020Q4</x:v>
      </x:c>
      <x:c r="D97" s="2" t="n">
        <x:f>IF(F97=0,"",SUMIF(Monthly_Source!$E$2:$E$356,$C97,Monthly_Source!$C$2:$C$356)/F97)</x:f>
        <x:v>331.34844305284054</x:v>
      </x:c>
      <x:c r="E97" s="2" t="n">
        <x:f>IF(F97=0,"",SUMIF(Monthly_Source!$E$2:$E$356,$C97,Monthly_Source!$D$2:$D$356)/F97)</x:f>
        <x:v>339.59685336193667</x:v>
      </x:c>
      <x:c r="F97" t="n">
        <x:f>COUNTIF(Monthly_Source!$E$2:$E$356,$C97)</x:f>
        <x:v>3</x:v>
      </x:c>
      <x:c r="G97" t="str">
        <x:f>IF(F97=3,"Complete","Incomplete - exclude from estimation")</x:f>
        <x:v>Complete</x:v>
      </x:c>
      <x:c r="H97" t="str">
        <x:v>2020-10-01</x:v>
      </x:c>
      <x:c r="I97" t="str">
        <x:v>2020-12-end</x:v>
      </x:c>
    </x:row>
    <x:row r="98">
      <x:c r="A98" t="n">
        <x:v>2021</x:v>
      </x:c>
      <x:c r="B98" t="n">
        <x:v>1</x:v>
      </x:c>
      <x:c r="C98" t="str">
        <x:v>2021Q1</x:v>
      </x:c>
      <x:c r="D98" s="2" t="n">
        <x:f>IF(F98=0,"",SUMIF(Monthly_Source!$E$2:$E$356,$C98,Monthly_Source!$C$2:$C$356)/F98)</x:f>
        <x:v>224.15423411619565</x:v>
      </x:c>
      <x:c r="E98" s="2" t="n">
        <x:f>IF(F98=0,"",SUMIF(Monthly_Source!$E$2:$E$356,$C98,Monthly_Source!$D$2:$D$356)/F98)</x:f>
        <x:v>230.33102044640634</x:v>
      </x:c>
      <x:c r="F98" t="n">
        <x:f>COUNTIF(Monthly_Source!$E$2:$E$356,$C98)</x:f>
        <x:v>3</x:v>
      </x:c>
      <x:c r="G98" t="str">
        <x:f>IF(F98=3,"Complete","Incomplete - exclude from estimation")</x:f>
        <x:v>Complete</x:v>
      </x:c>
      <x:c r="H98" t="str">
        <x:v>2021-01-01</x:v>
      </x:c>
      <x:c r="I98" t="str">
        <x:v>2021-03-end</x:v>
      </x:c>
    </x:row>
    <x:row r="99">
      <x:c r="A99" t="n">
        <x:v>2021</x:v>
      </x:c>
      <x:c r="B99" t="n">
        <x:v>2</x:v>
      </x:c>
      <x:c r="C99" t="str">
        <x:v>2021Q2</x:v>
      </x:c>
      <x:c r="D99" s="2" t="n">
        <x:f>IF(F99=0,"",SUMIF(Monthly_Source!$E$2:$E$356,$C99,Monthly_Source!$C$2:$C$356)/F99)</x:f>
        <x:v>177.74404373192274</x:v>
      </x:c>
      <x:c r="E99" s="2" t="n">
        <x:f>IF(F99=0,"",SUMIF(Monthly_Source!$E$2:$E$356,$C99,Monthly_Source!$D$2:$D$356)/F99)</x:f>
        <x:v>185.39057490618325</x:v>
      </x:c>
      <x:c r="F99" t="n">
        <x:f>COUNTIF(Monthly_Source!$E$2:$E$356,$C99)</x:f>
        <x:v>3</x:v>
      </x:c>
      <x:c r="G99" t="str">
        <x:f>IF(F99=3,"Complete","Incomplete - exclude from estimation")</x:f>
        <x:v>Complete</x:v>
      </x:c>
      <x:c r="H99" t="str">
        <x:v>2021-04-01</x:v>
      </x:c>
      <x:c r="I99" t="str">
        <x:v>2021-06-end</x:v>
      </x:c>
    </x:row>
    <x:row r="100">
      <x:c r="A100" t="n">
        <x:v>2021</x:v>
      </x:c>
      <x:c r="B100" t="n">
        <x:v>3</x:v>
      </x:c>
      <x:c r="C100" t="str">
        <x:v>2021Q3</x:v>
      </x:c>
      <x:c r="D100" s="2" t="n">
        <x:f>IF(F100=0,"",SUMIF(Monthly_Source!$E$2:$E$356,$C100,Monthly_Source!$C$2:$C$356)/F100)</x:f>
        <x:v>198.47605043474368</x:v>
      </x:c>
      <x:c r="E100" s="2" t="n">
        <x:f>IF(F100=0,"",SUMIF(Monthly_Source!$E$2:$E$356,$C100,Monthly_Source!$D$2:$D$356)/F100)</x:f>
        <x:v>201.14794890727777</x:v>
      </x:c>
      <x:c r="F100" t="n">
        <x:f>COUNTIF(Monthly_Source!$E$2:$E$356,$C100)</x:f>
        <x:v>3</x:v>
      </x:c>
      <x:c r="G100" t="str">
        <x:f>IF(F100=3,"Complete","Incomplete - exclude from estimation")</x:f>
        <x:v>Complete</x:v>
      </x:c>
      <x:c r="H100" t="str">
        <x:v>2021-07-01</x:v>
      </x:c>
      <x:c r="I100" t="str">
        <x:v>2021-09-end</x:v>
      </x:c>
    </x:row>
    <x:row r="101">
      <x:c r="A101" t="n">
        <x:v>2021</x:v>
      </x:c>
      <x:c r="B101" t="n">
        <x:v>4</x:v>
      </x:c>
      <x:c r="C101" t="str">
        <x:v>2021Q4</x:v>
      </x:c>
      <x:c r="D101" s="2" t="n">
        <x:f>IF(F101=0,"",SUMIF(Monthly_Source!$E$2:$E$356,$C101,Monthly_Source!$C$2:$C$356)/F101)</x:f>
        <x:v>222.62842584820763</x:v>
      </x:c>
      <x:c r="E101" s="2" t="n">
        <x:f>IF(F101=0,"",SUMIF(Monthly_Source!$E$2:$E$356,$C101,Monthly_Source!$D$2:$D$356)/F101)</x:f>
        <x:v>226.12487018972425</x:v>
      </x:c>
      <x:c r="F101" t="n">
        <x:f>COUNTIF(Monthly_Source!$E$2:$E$356,$C101)</x:f>
        <x:v>3</x:v>
      </x:c>
      <x:c r="G101" t="str">
        <x:f>IF(F101=3,"Complete","Incomplete - exclude from estimation")</x:f>
        <x:v>Complete</x:v>
      </x:c>
      <x:c r="H101" t="str">
        <x:v>2021-10-01</x:v>
      </x:c>
      <x:c r="I101" t="str">
        <x:v>2021-12-end</x:v>
      </x:c>
    </x:row>
    <x:row r="102">
      <x:c r="A102" t="n">
        <x:v>2022</x:v>
      </x:c>
      <x:c r="B102" t="n">
        <x:v>1</x:v>
      </x:c>
      <x:c r="C102" t="str">
        <x:v>2022Q1</x:v>
      </x:c>
      <x:c r="D102" s="2" t="n">
        <x:f>IF(F102=0,"",SUMIF(Monthly_Source!$E$2:$E$356,$C102,Monthly_Source!$C$2:$C$356)/F102)</x:f>
        <x:v>229.49556115450022</x:v>
      </x:c>
      <x:c r="E102" s="2" t="n">
        <x:f>IF(F102=0,"",SUMIF(Monthly_Source!$E$2:$E$356,$C102,Monthly_Source!$D$2:$D$356)/F102)</x:f>
        <x:v>237.1601439116467</x:v>
      </x:c>
      <x:c r="F102" t="n">
        <x:f>COUNTIF(Monthly_Source!$E$2:$E$356,$C102)</x:f>
        <x:v>3</x:v>
      </x:c>
      <x:c r="G102" t="str">
        <x:f>IF(F102=3,"Complete","Incomplete - exclude from estimation")</x:f>
        <x:v>Complete</x:v>
      </x:c>
      <x:c r="H102" t="str">
        <x:v>2022-01-01</x:v>
      </x:c>
      <x:c r="I102" t="str">
        <x:v>2022-03-end</x:v>
      </x:c>
    </x:row>
    <x:row r="103">
      <x:c r="A103" t="n">
        <x:v>2022</x:v>
      </x:c>
      <x:c r="B103" t="n">
        <x:v>2</x:v>
      </x:c>
      <x:c r="C103" t="str">
        <x:v>2022Q2</x:v>
      </x:c>
      <x:c r="D103" s="2" t="n">
        <x:f>IF(F103=0,"",SUMIF(Monthly_Source!$E$2:$E$356,$C103,Monthly_Source!$C$2:$C$356)/F103)</x:f>
        <x:v>261.0620893586065</x:v>
      </x:c>
      <x:c r="E103" s="2" t="n">
        <x:f>IF(F103=0,"",SUMIF(Monthly_Source!$E$2:$E$356,$C103,Monthly_Source!$D$2:$D$356)/F103)</x:f>
        <x:v>275.87340349343975</x:v>
      </x:c>
      <x:c r="F103" t="n">
        <x:f>COUNTIF(Monthly_Source!$E$2:$E$356,$C103)</x:f>
        <x:v>3</x:v>
      </x:c>
      <x:c r="G103" t="str">
        <x:f>IF(F103=3,"Complete","Incomplete - exclude from estimation")</x:f>
        <x:v>Complete</x:v>
      </x:c>
      <x:c r="H103" t="str">
        <x:v>2022-04-01</x:v>
      </x:c>
      <x:c r="I103" t="str">
        <x:v>2022-06-end</x:v>
      </x:c>
    </x:row>
    <x:row r="104">
      <x:c r="A104" t="n">
        <x:v>2022</x:v>
      </x:c>
      <x:c r="B104" t="n">
        <x:v>3</x:v>
      </x:c>
      <x:c r="C104" t="str">
        <x:v>2022Q3</x:v>
      </x:c>
      <x:c r="D104" s="2" t="n">
        <x:f>IF(F104=0,"",SUMIF(Monthly_Source!$E$2:$E$356,$C104,Monthly_Source!$C$2:$C$356)/F104)</x:f>
        <x:v>256.37975500857254</x:v>
      </x:c>
      <x:c r="E104" s="2" t="n">
        <x:f>IF(F104=0,"",SUMIF(Monthly_Source!$E$2:$E$356,$C104,Monthly_Source!$D$2:$D$356)/F104)</x:f>
        <x:v>261.87516512764716</x:v>
      </x:c>
      <x:c r="F104" t="n">
        <x:f>COUNTIF(Monthly_Source!$E$2:$E$356,$C104)</x:f>
        <x:v>3</x:v>
      </x:c>
      <x:c r="G104" t="str">
        <x:f>IF(F104=3,"Complete","Incomplete - exclude from estimation")</x:f>
        <x:v>Complete</x:v>
      </x:c>
      <x:c r="H104" t="str">
        <x:v>2022-07-01</x:v>
      </x:c>
      <x:c r="I104" t="str">
        <x:v>2022-09-end</x:v>
      </x:c>
    </x:row>
    <x:row r="105">
      <x:c r="A105" t="n">
        <x:v>2022</x:v>
      </x:c>
      <x:c r="B105" t="n">
        <x:v>4</x:v>
      </x:c>
      <x:c r="C105" t="str">
        <x:v>2022Q4</x:v>
      </x:c>
      <x:c r="D105" s="2" t="n">
        <x:f>IF(F105=0,"",SUMIF(Monthly_Source!$E$2:$E$356,$C105,Monthly_Source!$C$2:$C$356)/F105)</x:f>
        <x:v>268.55666012731524</x:v>
      </x:c>
      <x:c r="E105" s="2" t="n">
        <x:f>IF(F105=0,"",SUMIF(Monthly_Source!$E$2:$E$356,$C105,Monthly_Source!$D$2:$D$356)/F105)</x:f>
        <x:v>277.7302020965418</x:v>
      </x:c>
      <x:c r="F105" t="n">
        <x:f>COUNTIF(Monthly_Source!$E$2:$E$356,$C105)</x:f>
        <x:v>3</x:v>
      </x:c>
      <x:c r="G105" t="str">
        <x:f>IF(F105=3,"Complete","Incomplete - exclude from estimation")</x:f>
        <x:v>Complete</x:v>
      </x:c>
      <x:c r="H105" t="str">
        <x:v>2022-10-01</x:v>
      </x:c>
      <x:c r="I105" t="str">
        <x:v>2022-12-end</x:v>
      </x:c>
    </x:row>
    <x:row r="106">
      <x:c r="A106" t="n">
        <x:v>2023</x:v>
      </x:c>
      <x:c r="B106" t="n">
        <x:v>1</x:v>
      </x:c>
      <x:c r="C106" t="str">
        <x:v>2023Q1</x:v>
      </x:c>
      <x:c r="D106" s="2" t="n">
        <x:f>IF(F106=0,"",SUMIF(Monthly_Source!$E$2:$E$356,$C106,Monthly_Source!$C$2:$C$356)/F106)</x:f>
        <x:v>254.69558027745492</x:v>
      </x:c>
      <x:c r="E106" s="2" t="n">
        <x:f>IF(F106=0,"",SUMIF(Monthly_Source!$E$2:$E$356,$C106,Monthly_Source!$D$2:$D$356)/F106)</x:f>
        <x:v>269.6909593489036</x:v>
      </x:c>
      <x:c r="F106" t="n">
        <x:f>COUNTIF(Monthly_Source!$E$2:$E$356,$C106)</x:f>
        <x:v>3</x:v>
      </x:c>
      <x:c r="G106" t="str">
        <x:f>IF(F106=3,"Complete","Incomplete - exclude from estimation")</x:f>
        <x:v>Complete</x:v>
      </x:c>
      <x:c r="H106" t="str">
        <x:v>2023-01-01</x:v>
      </x:c>
      <x:c r="I106" t="str">
        <x:v>2023-03-end</x:v>
      </x:c>
    </x:row>
    <x:row r="107">
      <x:c r="A107" t="n">
        <x:v>2023</x:v>
      </x:c>
      <x:c r="B107" t="n">
        <x:v>2</x:v>
      </x:c>
      <x:c r="C107" t="str">
        <x:v>2023Q2</x:v>
      </x:c>
      <x:c r="D107" s="2" t="n">
        <x:f>IF(F107=0,"",SUMIF(Monthly_Source!$E$2:$E$356,$C107,Monthly_Source!$C$2:$C$356)/F107)</x:f>
        <x:v>226.8248106632102</x:v>
      </x:c>
      <x:c r="E107" s="2" t="n">
        <x:f>IF(F107=0,"",SUMIF(Monthly_Source!$E$2:$E$356,$C107,Monthly_Source!$D$2:$D$356)/F107)</x:f>
        <x:v>239.84670787752222</x:v>
      </x:c>
      <x:c r="F107" t="n">
        <x:f>COUNTIF(Monthly_Source!$E$2:$E$356,$C107)</x:f>
        <x:v>3</x:v>
      </x:c>
      <x:c r="G107" t="str">
        <x:f>IF(F107=3,"Complete","Incomplete - exclude from estimation")</x:f>
        <x:v>Complete</x:v>
      </x:c>
      <x:c r="H107" t="str">
        <x:v>2023-04-01</x:v>
      </x:c>
      <x:c r="I107" t="str">
        <x:v>2023-06-end</x:v>
      </x:c>
    </x:row>
    <x:row r="108">
      <x:c r="A108" t="n">
        <x:v>2023</x:v>
      </x:c>
      <x:c r="B108" t="n">
        <x:v>3</x:v>
      </x:c>
      <x:c r="C108" t="str">
        <x:v>2023Q3</x:v>
      </x:c>
      <x:c r="D108" s="2" t="n">
        <x:f>IF(F108=0,"",SUMIF(Monthly_Source!$E$2:$E$356,$C108,Monthly_Source!$C$2:$C$356)/F108)</x:f>
        <x:v>186.8500982680483</x:v>
      </x:c>
      <x:c r="E108" s="2" t="n">
        <x:f>IF(F108=0,"",SUMIF(Monthly_Source!$E$2:$E$356,$C108,Monthly_Source!$D$2:$D$356)/F108)</x:f>
        <x:v>196.45818715407526</x:v>
      </x:c>
      <x:c r="F108" t="n">
        <x:f>COUNTIF(Monthly_Source!$E$2:$E$356,$C108)</x:f>
        <x:v>3</x:v>
      </x:c>
      <x:c r="G108" t="str">
        <x:f>IF(F108=3,"Complete","Incomplete - exclude from estimation")</x:f>
        <x:v>Complete</x:v>
      </x:c>
      <x:c r="H108" t="str">
        <x:v>2023-07-01</x:v>
      </x:c>
      <x:c r="I108" t="str">
        <x:v>2023-09-end</x:v>
      </x:c>
    </x:row>
    <x:row r="109">
      <x:c r="A109" t="n">
        <x:v>2023</x:v>
      </x:c>
      <x:c r="B109" t="n">
        <x:v>4</x:v>
      </x:c>
      <x:c r="C109" t="str">
        <x:v>2023Q4</x:v>
      </x:c>
      <x:c r="D109" s="2" t="n">
        <x:f>IF(F109=0,"",SUMIF(Monthly_Source!$E$2:$E$356,$C109,Monthly_Source!$C$2:$C$356)/F109)</x:f>
        <x:v>204.58539299335385</x:v>
      </x:c>
      <x:c r="E109" s="2" t="n">
        <x:f>IF(F109=0,"",SUMIF(Monthly_Source!$E$2:$E$356,$C109,Monthly_Source!$D$2:$D$356)/F109)</x:f>
        <x:v>219.4745552879962</x:v>
      </x:c>
      <x:c r="F109" t="n">
        <x:f>COUNTIF(Monthly_Source!$E$2:$E$356,$C109)</x:f>
        <x:v>3</x:v>
      </x:c>
      <x:c r="G109" t="str">
        <x:f>IF(F109=3,"Complete","Incomplete - exclude from estimation")</x:f>
        <x:v>Complete</x:v>
      </x:c>
      <x:c r="H109" t="str">
        <x:v>2023-10-01</x:v>
      </x:c>
      <x:c r="I109" t="str">
        <x:v>2023-12-end</x:v>
      </x:c>
    </x:row>
    <x:row r="110">
      <x:c r="A110" t="n">
        <x:v>2024</x:v>
      </x:c>
      <x:c r="B110" t="n">
        <x:v>1</x:v>
      </x:c>
      <x:c r="C110" t="str">
        <x:v>2024Q1</x:v>
      </x:c>
      <x:c r="D110" s="2" t="n">
        <x:f>IF(F110=0,"",SUMIF(Monthly_Source!$E$2:$E$356,$C110,Monthly_Source!$C$2:$C$356)/F110)</x:f>
        <x:v>192.52985944460212</x:v>
      </x:c>
      <x:c r="E110" s="2" t="n">
        <x:f>IF(F110=0,"",SUMIF(Monthly_Source!$E$2:$E$356,$C110,Monthly_Source!$D$2:$D$356)/F110)</x:f>
        <x:v>205.9990299535631</x:v>
      </x:c>
      <x:c r="F110" t="n">
        <x:f>COUNTIF(Monthly_Source!$E$2:$E$356,$C110)</x:f>
        <x:v>3</x:v>
      </x:c>
      <x:c r="G110" t="str">
        <x:f>IF(F110=3,"Complete","Incomplete - exclude from estimation")</x:f>
        <x:v>Complete</x:v>
      </x:c>
      <x:c r="H110" t="str">
        <x:v>2024-01-01</x:v>
      </x:c>
      <x:c r="I110" t="str">
        <x:v>2024-03-end</x:v>
      </x:c>
    </x:row>
    <x:row r="111">
      <x:c r="A111" t="n">
        <x:v>2024</x:v>
      </x:c>
      <x:c r="B111" t="n">
        <x:v>2</x:v>
      </x:c>
      <x:c r="C111" t="str">
        <x:v>2024Q2</x:v>
      </x:c>
      <x:c r="D111" s="2" t="n">
        <x:f>IF(F111=0,"",SUMIF(Monthly_Source!$E$2:$E$356,$C111,Monthly_Source!$C$2:$C$356)/F111)</x:f>
        <x:v>173.73450077803338</x:v>
      </x:c>
      <x:c r="E111" s="2" t="n">
        <x:f>IF(F111=0,"",SUMIF(Monthly_Source!$E$2:$E$356,$C111,Monthly_Source!$D$2:$D$356)/F111)</x:f>
        <x:v>177.55551575157304</x:v>
      </x:c>
      <x:c r="F111" t="n">
        <x:f>COUNTIF(Monthly_Source!$E$2:$E$356,$C111)</x:f>
        <x:v>3</x:v>
      </x:c>
      <x:c r="G111" t="str">
        <x:f>IF(F111=3,"Complete","Incomplete - exclude from estimation")</x:f>
        <x:v>Complete</x:v>
      </x:c>
      <x:c r="H111" t="str">
        <x:v>2024-04-01</x:v>
      </x:c>
      <x:c r="I111" t="str">
        <x:v>2024-06-end</x:v>
      </x:c>
    </x:row>
    <x:row r="112">
      <x:c r="A112" t="n">
        <x:v>2024</x:v>
      </x:c>
      <x:c r="B112" t="n">
        <x:v>3</x:v>
      </x:c>
      <x:c r="C112" t="str">
        <x:v>2024Q3</x:v>
      </x:c>
      <x:c r="D112" s="2" t="n">
        <x:f>IF(F112=0,"",SUMIF(Monthly_Source!$E$2:$E$356,$C112,Monthly_Source!$C$2:$C$356)/F112)</x:f>
        <x:v>204.44761594196947</x:v>
      </x:c>
      <x:c r="E112" s="2" t="n">
        <x:f>IF(F112=0,"",SUMIF(Monthly_Source!$E$2:$E$356,$C112,Monthly_Source!$D$2:$D$356)/F112)</x:f>
        <x:v>214.5372501694285</x:v>
      </x:c>
      <x:c r="F112" t="n">
        <x:f>COUNTIF(Monthly_Source!$E$2:$E$356,$C112)</x:f>
        <x:v>3</x:v>
      </x:c>
      <x:c r="G112" t="str">
        <x:f>IF(F112=3,"Complete","Incomplete - exclude from estimation")</x:f>
        <x:v>Complete</x:v>
      </x:c>
      <x:c r="H112" t="str">
        <x:v>2024-07-01</x:v>
      </x:c>
      <x:c r="I112" t="str">
        <x:v>2024-09-end</x:v>
      </x:c>
    </x:row>
    <x:row r="113">
      <x:c r="A113" t="n">
        <x:v>2024</x:v>
      </x:c>
      <x:c r="B113" t="n">
        <x:v>4</x:v>
      </x:c>
      <x:c r="C113" t="str">
        <x:v>2024Q4</x:v>
      </x:c>
      <x:c r="D113" s="2" t="n">
        <x:f>IF(F113=0,"",SUMIF(Monthly_Source!$E$2:$E$356,$C113,Monthly_Source!$C$2:$C$356)/F113)</x:f>
        <x:v>268.1362858098527</x:v>
      </x:c>
      <x:c r="E113" s="2" t="n">
        <x:f>IF(F113=0,"",SUMIF(Monthly_Source!$E$2:$E$356,$C113,Monthly_Source!$D$2:$D$356)/F113)</x:f>
        <x:v>271.2809647492151</x:v>
      </x:c>
      <x:c r="F113" t="n">
        <x:f>COUNTIF(Monthly_Source!$E$2:$E$356,$C113)</x:f>
        <x:v>3</x:v>
      </x:c>
      <x:c r="G113" t="str">
        <x:f>IF(F113=3,"Complete","Incomplete - exclude from estimation")</x:f>
        <x:v>Complete</x:v>
      </x:c>
      <x:c r="H113" t="str">
        <x:v>2024-10-01</x:v>
      </x:c>
      <x:c r="I113" t="str">
        <x:v>2024-12-end</x:v>
      </x:c>
    </x:row>
    <x:row r="114">
      <x:c r="A114" t="n">
        <x:v>2025</x:v>
      </x:c>
      <x:c r="B114" t="n">
        <x:v>1</x:v>
      </x:c>
      <x:c r="C114" t="str">
        <x:v>2025Q1</x:v>
      </x:c>
      <x:c r="D114" s="2" t="n">
        <x:f>IF(F114=0,"",SUMIF(Monthly_Source!$E$2:$E$356,$C114,Monthly_Source!$C$2:$C$356)/F114)</x:f>
        <x:v>368.23861148931627</x:v>
      </x:c>
      <x:c r="E114" s="2" t="n">
        <x:f>IF(F114=0,"",SUMIF(Monthly_Source!$E$2:$E$356,$C114,Monthly_Source!$D$2:$D$356)/F114)</x:f>
        <x:v>360.46352213944414</x:v>
      </x:c>
      <x:c r="F114" t="n">
        <x:f>COUNTIF(Monthly_Source!$E$2:$E$356,$C114)</x:f>
        <x:v>3</x:v>
      </x:c>
      <x:c r="G114" t="str">
        <x:f>IF(F114=3,"Complete","Incomplete - exclude from estimation")</x:f>
        <x:v>Complete</x:v>
      </x:c>
      <x:c r="H114" t="str">
        <x:v>2025-01-01</x:v>
      </x:c>
      <x:c r="I114" t="str">
        <x:v>2025-03-end</x:v>
      </x:c>
    </x:row>
    <x:row r="115">
      <x:c r="A115" t="n">
        <x:v>2025</x:v>
      </x:c>
      <x:c r="B115" t="n">
        <x:v>2</x:v>
      </x:c>
      <x:c r="C115" t="str">
        <x:v>2025Q2</x:v>
      </x:c>
      <x:c r="D115" s="2" t="n">
        <x:f>IF(F115=0,"",SUMIF(Monthly_Source!$E$2:$E$356,$C115,Monthly_Source!$C$2:$C$356)/F115)</x:f>
        <x:v>497.22608974113473</x:v>
      </x:c>
      <x:c r="E115" s="2" t="n">
        <x:f>IF(F115=0,"",SUMIF(Monthly_Source!$E$2:$E$356,$C115,Monthly_Source!$D$2:$D$356)/F115)</x:f>
        <x:v>466.28184071285915</x:v>
      </x:c>
      <x:c r="F115" t="n">
        <x:f>COUNTIF(Monthly_Source!$E$2:$E$356,$C115)</x:f>
        <x:v>3</x:v>
      </x:c>
      <x:c r="G115" t="str">
        <x:f>IF(F115=3,"Complete","Incomplete - exclude from estimation")</x:f>
        <x:v>Complete</x:v>
      </x:c>
      <x:c r="H115" t="str">
        <x:v>2025-04-01</x:v>
      </x:c>
      <x:c r="I115" t="str">
        <x:v>2025-06-end</x:v>
      </x:c>
    </x:row>
    <x:row r="116">
      <x:c r="A116" t="n">
        <x:v>2025</x:v>
      </x:c>
      <x:c r="B116" t="n">
        <x:v>3</x:v>
      </x:c>
      <x:c r="C116" t="str">
        <x:v>2025Q3</x:v>
      </x:c>
      <x:c r="D116" s="2" t="n">
        <x:f>IF(F116=0,"",SUMIF(Monthly_Source!$E$2:$E$356,$C116,Monthly_Source!$C$2:$C$356)/F116)</x:f>
        <x:v>348.33866558764913</x:v>
      </x:c>
      <x:c r="E116" s="2" t="n">
        <x:f>IF(F116=0,"",SUMIF(Monthly_Source!$E$2:$E$356,$C116,Monthly_Source!$D$2:$D$356)/F116)</x:f>
        <x:v>331.1400729833423</x:v>
      </x:c>
      <x:c r="F116" t="n">
        <x:f>COUNTIF(Monthly_Source!$E$2:$E$356,$C116)</x:f>
        <x:v>3</x:v>
      </x:c>
      <x:c r="G116" t="str">
        <x:f>IF(F116=3,"Complete","Incomplete - exclude from estimation")</x:f>
        <x:v>Complete</x:v>
      </x:c>
      <x:c r="H116" t="str">
        <x:v>2025-07-01</x:v>
      </x:c>
      <x:c r="I116" t="str">
        <x:v>2025-09-end</x:v>
      </x:c>
    </x:row>
    <x:row r="117">
      <x:c r="A117" t="n">
        <x:v>2025</x:v>
      </x:c>
      <x:c r="B117" t="n">
        <x:v>4</x:v>
      </x:c>
      <x:c r="C117" t="str">
        <x:v>2025Q4</x:v>
      </x:c>
      <x:c r="D117" s="2" t="n">
        <x:f>IF(F117=0,"",SUMIF(Monthly_Source!$E$2:$E$356,$C117,Monthly_Source!$C$2:$C$356)/F117)</x:f>
        <x:v>364.9999631903438</x:v>
      </x:c>
      <x:c r="E117" s="2" t="n">
        <x:f>IF(F117=0,"",SUMIF(Monthly_Source!$E$2:$E$356,$C117,Monthly_Source!$D$2:$D$356)/F117)</x:f>
        <x:v>375.4953836723019</x:v>
      </x:c>
      <x:c r="F117" t="n">
        <x:f>COUNTIF(Monthly_Source!$E$2:$E$356,$C117)</x:f>
        <x:v>3</x:v>
      </x:c>
      <x:c r="G117" t="str">
        <x:f>IF(F117=3,"Complete","Incomplete - exclude from estimation")</x:f>
        <x:v>Complete</x:v>
      </x:c>
      <x:c r="H117" t="str">
        <x:v>2025-10-01</x:v>
      </x:c>
      <x:c r="I117" t="str">
        <x:v>2025-12-end</x:v>
      </x:c>
    </x:row>
    <x:row r="118">
      <x:c r="A118" t="n">
        <x:v>2026</x:v>
      </x:c>
      <x:c r="B118" t="n">
        <x:v>1</x:v>
      </x:c>
      <x:c r="C118" t="str">
        <x:v>2026Q1</x:v>
      </x:c>
      <x:c r="D118" s="2" t="n">
        <x:f>IF(F118=0,"",SUMIF(Monthly_Source!$E$2:$E$356,$C118,Monthly_Source!$C$2:$C$356)/F118)</x:f>
        <x:v>390.7967303712023</x:v>
      </x:c>
      <x:c r="E118" s="2" t="n">
        <x:f>IF(F118=0,"",SUMIF(Monthly_Source!$E$2:$E$356,$C118,Monthly_Source!$D$2:$D$356)/F118)</x:f>
        <x:v>397.23133524958394</x:v>
      </x:c>
      <x:c r="F118" t="n">
        <x:f>COUNTIF(Monthly_Source!$E$2:$E$356,$C118)</x:f>
        <x:v>3</x:v>
      </x:c>
      <x:c r="G118" t="str">
        <x:f>IF(F118=3,"Complete","Incomplete - exclude from estimation")</x:f>
        <x:v>Complete</x:v>
      </x:c>
      <x:c r="H118" t="str">
        <x:v>2026-01-01</x:v>
      </x:c>
      <x:c r="I118" t="str">
        <x:v>2026-03-end</x:v>
      </x:c>
    </x:row>
    <x:row r="119">
      <x:c r="A119" t="n">
        <x:v>2026</x:v>
      </x:c>
      <x:c r="B119" t="n">
        <x:v>2</x:v>
      </x:c>
      <x:c r="C119" t="str">
        <x:v>2026Q2</x:v>
      </x:c>
      <x:c r="D119" s="2" t="n">
        <x:f>IF(F119=0,"",SUMIF(Monthly_Source!$E$2:$E$356,$C119,Monthly_Source!$C$2:$C$356)/F119)</x:f>
        <x:v>315.57953326216375</x:v>
      </x:c>
      <x:c r="E119" s="2" t="n">
        <x:f>IF(F119=0,"",SUMIF(Monthly_Source!$E$2:$E$356,$C119,Monthly_Source!$D$2:$D$356)/F119)</x:f>
        <x:v>314.54180887294575</x:v>
      </x:c>
      <x:c r="F119" t="n">
        <x:f>COUNTIF(Monthly_Source!$E$2:$E$356,$C119)</x:f>
        <x:v>3</x:v>
      </x:c>
      <x:c r="G119" t="str">
        <x:f>IF(F119=3,"Complete","Incomplete - exclude from estimation")</x:f>
        <x:v>Complete</x:v>
      </x:c>
      <x:c r="H119" t="str">
        <x:v>2026-04-01</x:v>
      </x:c>
      <x:c r="I119" t="str">
        <x:v>2026-06-end</x:v>
      </x:c>
    </x:row>
    <x:row r="120">
      <x:c r="A120" t="n">
        <x:v>2026</x:v>
      </x:c>
      <x:c r="B120" t="n">
        <x:v>3</x:v>
      </x:c>
      <x:c r="C120" t="str">
        <x:v>2026Q3</x:v>
      </x:c>
      <x:c r="D120" s="2" t="n">
        <x:f>IF(F120=0,"",SUMIF(Monthly_Source!$E$2:$E$356,$C120,Monthly_Source!$C$2:$C$356)/F120)</x:f>
        <x:v>241.6904910005747</x:v>
      </x:c>
      <x:c r="E120" s="2" t="n">
        <x:f>IF(F120=0,"",SUMIF(Monthly_Source!$E$2:$E$356,$C120,Monthly_Source!$D$2:$D$356)/F120)</x:f>
        <x:v>236.256033970068</x:v>
      </x:c>
      <x:c r="F120" t="n">
        <x:f>COUNTIF(Monthly_Source!$E$2:$E$356,$C120)</x:f>
        <x:v>1</x:v>
      </x:c>
      <x:c r="G120" s="8" t="str">
        <x:f>IF(F120=3,"Complete","Incomplete - exclude from estimation")</x:f>
        <x:v>Incomplete - exclude from estimation</x:v>
      </x:c>
      <x:c r="H120" t="str">
        <x:v>2026-07-01</x:v>
      </x:c>
      <x:c r="I120" t="str">
        <x:v>2026-09-end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</x:cols>
  <x:sheetData>
    <x:row r="1" ht="30" customHeight="1">
      <x:c r="A1" s="5" t="str">
        <x:v>Year</x:v>
      </x:c>
      <x:c r="B1" s="5" t="str">
        <x:v>Month</x:v>
      </x:c>
      <x:c r="C1" s="5" t="str">
        <x:v>GEPU_current</x:v>
      </x:c>
      <x:c r="D1" s="5" t="str">
        <x:v>GEPU_ppp</x:v>
      </x:c>
      <x:c r="E1" s="5" t="str">
        <x:v>Quarter</x:v>
      </x:c>
    </x:row>
    <x:row r="2">
      <x:c r="A2" t="n">
        <x:v>1997</x:v>
      </x:c>
      <x:c r="B2" t="n">
        <x:v>1</x:v>
      </x:c>
      <x:c r="C2" t="n">
        <x:v>77.59255058560618</x:v>
      </x:c>
      <x:c r="D2" t="n">
        <x:v>81.83133599326386</x:v>
      </x:c>
      <x:c r="E2" t="str">
        <x:v>1997Q1</x:v>
      </x:c>
    </x:row>
    <x:row r="3">
      <x:c r="A3" t="n">
        <x:v>1997</x:v>
      </x:c>
      <x:c r="B3" t="n">
        <x:v>2</x:v>
      </x:c>
      <x:c r="C3" t="n">
        <x:v>77.92197938624899</x:v>
      </x:c>
      <x:c r="D3" t="n">
        <x:v>78.88492875831257</x:v>
      </x:c>
      <x:c r="E3" t="str">
        <x:v>1997Q1</x:v>
      </x:c>
    </x:row>
    <x:row r="4">
      <x:c r="A4" t="n">
        <x:v>1997</x:v>
      </x:c>
      <x:c r="B4" t="n">
        <x:v>3</x:v>
      </x:c>
      <x:c r="C4" t="n">
        <x:v>68.7960295583882</x:v>
      </x:c>
      <x:c r="D4" t="n">
        <x:v>68.23191285211122</x:v>
      </x:c>
      <x:c r="E4" t="str">
        <x:v>1997Q1</x:v>
      </x:c>
    </x:row>
    <x:row r="5">
      <x:c r="A5" t="n">
        <x:v>1997</x:v>
      </x:c>
      <x:c r="B5" t="n">
        <x:v>4</x:v>
      </x:c>
      <x:c r="C5" t="n">
        <x:v>73.75483593099494</x:v>
      </x:c>
      <x:c r="D5" t="n">
        <x:v>75.23871835220314</x:v>
      </x:c>
      <x:c r="E5" t="str">
        <x:v>1997Q2</x:v>
      </x:c>
    </x:row>
    <x:row r="6">
      <x:c r="A6" t="n">
        <x:v>1997</x:v>
      </x:c>
      <x:c r="B6" t="n">
        <x:v>5</x:v>
      </x:c>
      <x:c r="C6" t="n">
        <x:v>77.32838889888141</x:v>
      </x:c>
      <x:c r="D6" t="n">
        <x:v>84.73477785503981</x:v>
      </x:c>
      <x:c r="E6" t="str">
        <x:v>1997Q2</x:v>
      </x:c>
    </x:row>
    <x:row r="7">
      <x:c r="A7" t="n">
        <x:v>1997</x:v>
      </x:c>
      <x:c r="B7" t="n">
        <x:v>6</x:v>
      </x:c>
      <x:c r="C7" t="n">
        <x:v>81.30599630793989</x:v>
      </x:c>
      <x:c r="D7" t="n">
        <x:v>86.19366089634072</x:v>
      </x:c>
      <x:c r="E7" t="str">
        <x:v>1997Q2</x:v>
      </x:c>
    </x:row>
    <x:row r="8">
      <x:c r="A8" t="n">
        <x:v>1997</x:v>
      </x:c>
      <x:c r="B8" t="n">
        <x:v>7</x:v>
      </x:c>
      <x:c r="C8" t="n">
        <x:v>66.57158702897001</x:v>
      </x:c>
      <x:c r="D8" t="n">
        <x:v>67.42961055790448</x:v>
      </x:c>
      <x:c r="E8" t="str">
        <x:v>1997Q3</x:v>
      </x:c>
    </x:row>
    <x:row r="9">
      <x:c r="A9" t="n">
        <x:v>1997</x:v>
      </x:c>
      <x:c r="B9" t="n">
        <x:v>8</x:v>
      </x:c>
      <x:c r="C9" t="n">
        <x:v>63.85466082624257</x:v>
      </x:c>
      <x:c r="D9" t="n">
        <x:v>61.05945602563403</x:v>
      </x:c>
      <x:c r="E9" t="str">
        <x:v>1997Q3</x:v>
      </x:c>
    </x:row>
    <x:row r="10">
      <x:c r="A10" t="n">
        <x:v>1997</x:v>
      </x:c>
      <x:c r="B10" t="n">
        <x:v>9</x:v>
      </x:c>
      <x:c r="C10" t="n">
        <x:v>66.04883359570695</x:v>
      </x:c>
      <x:c r="D10" t="n">
        <x:v>62.19497292267968</x:v>
      </x:c>
      <x:c r="E10" t="str">
        <x:v>1997Q3</x:v>
      </x:c>
    </x:row>
    <x:row r="11">
      <x:c r="A11" t="n">
        <x:v>1997</x:v>
      </x:c>
      <x:c r="B11" t="n">
        <x:v>10</x:v>
      </x:c>
      <x:c r="C11" t="n">
        <x:v>80.7264239358131</x:v>
      </x:c>
      <x:c r="D11" t="n">
        <x:v>76.54753615643139</x:v>
      </x:c>
      <x:c r="E11" t="str">
        <x:v>1997Q4</x:v>
      </x:c>
    </x:row>
    <x:row r="12">
      <x:c r="A12" t="n">
        <x:v>1997</x:v>
      </x:c>
      <x:c r="B12" t="n">
        <x:v>11</x:v>
      </x:c>
      <x:c r="C12" t="n">
        <x:v>95.66167648132983</x:v>
      </x:c>
      <x:c r="D12" t="n">
        <x:v>86.08303150122752</x:v>
      </x:c>
      <x:c r="E12" t="str">
        <x:v>1997Q4</x:v>
      </x:c>
    </x:row>
    <x:row r="13">
      <x:c r="A13" t="n">
        <x:v>1997</x:v>
      </x:c>
      <x:c r="B13" t="n">
        <x:v>12</x:v>
      </x:c>
      <x:c r="C13" t="n">
        <x:v>111.5289180114851</x:v>
      </x:c>
      <x:c r="D13" t="n">
        <x:v>98.09798614410815</x:v>
      </x:c>
      <x:c r="E13" t="str">
        <x:v>1997Q4</x:v>
      </x:c>
    </x:row>
    <x:row r="14">
      <x:c r="A14" t="n">
        <x:v>1998</x:v>
      </x:c>
      <x:c r="B14" t="n">
        <x:v>1</x:v>
      </x:c>
      <x:c r="C14" t="n">
        <x:v>102.2184711277206</x:v>
      </x:c>
      <x:c r="D14" t="n">
        <x:v>93.12704834245429</x:v>
      </x:c>
      <x:c r="E14" t="str">
        <x:v>1998Q1</x:v>
      </x:c>
    </x:row>
    <x:row r="15">
      <x:c r="A15" t="n">
        <x:v>1998</x:v>
      </x:c>
      <x:c r="B15" t="n">
        <x:v>2</x:v>
      </x:c>
      <x:c r="C15" t="n">
        <x:v>83.61127948164412</x:v>
      </x:c>
      <x:c r="D15" t="n">
        <x:v>78.27277771919879</x:v>
      </x:c>
      <x:c r="E15" t="str">
        <x:v>1998Q1</x:v>
      </x:c>
    </x:row>
    <x:row r="16">
      <x:c r="A16" t="n">
        <x:v>1998</x:v>
      </x:c>
      <x:c r="B16" t="n">
        <x:v>3</x:v>
      </x:c>
      <x:c r="C16" t="n">
        <x:v>87.56813290941629</x:v>
      </x:c>
      <x:c r="D16" t="n">
        <x:v>82.73080796363494</x:v>
      </x:c>
      <x:c r="E16" t="str">
        <x:v>1998Q1</x:v>
      </x:c>
    </x:row>
    <x:row r="17">
      <x:c r="A17" t="n">
        <x:v>1998</x:v>
      </x:c>
      <x:c r="B17" t="n">
        <x:v>4</x:v>
      </x:c>
      <x:c r="C17" t="n">
        <x:v>80.21354731462037</x:v>
      </x:c>
      <x:c r="D17" t="n">
        <x:v>75.42605308355944</x:v>
      </x:c>
      <x:c r="E17" t="str">
        <x:v>1998Q2</x:v>
      </x:c>
    </x:row>
    <x:row r="18">
      <x:c r="A18" t="n">
        <x:v>1998</x:v>
      </x:c>
      <x:c r="B18" t="n">
        <x:v>5</x:v>
      </x:c>
      <x:c r="C18" t="n">
        <x:v>85.31679847511597</x:v>
      </x:c>
      <x:c r="D18" t="n">
        <x:v>81.68653147583515</x:v>
      </x:c>
      <x:c r="E18" t="str">
        <x:v>1998Q2</x:v>
      </x:c>
    </x:row>
    <x:row r="19">
      <x:c r="A19" t="n">
        <x:v>1998</x:v>
      </x:c>
      <x:c r="B19" t="n">
        <x:v>6</x:v>
      </x:c>
      <x:c r="C19" t="n">
        <x:v>84.50949581235433</x:v>
      </x:c>
      <x:c r="D19" t="n">
        <x:v>80.90995947191509</x:v>
      </x:c>
      <x:c r="E19" t="str">
        <x:v>1998Q2</x:v>
      </x:c>
    </x:row>
    <x:row r="20">
      <x:c r="A20" t="n">
        <x:v>1998</x:v>
      </x:c>
      <x:c r="B20" t="n">
        <x:v>7</x:v>
      </x:c>
      <x:c r="C20" t="n">
        <x:v>103.2064183238029</x:v>
      </x:c>
      <x:c r="D20" t="n">
        <x:v>97.69120661941446</x:v>
      </x:c>
      <x:c r="E20" t="str">
        <x:v>1998Q3</x:v>
      </x:c>
    </x:row>
    <x:row r="21">
      <x:c r="A21" t="n">
        <x:v>1998</x:v>
      </x:c>
      <x:c r="B21" t="n">
        <x:v>8</x:v>
      </x:c>
      <x:c r="C21" t="n">
        <x:v>114.6574321594405</x:v>
      </x:c>
      <x:c r="D21" t="n">
        <x:v>108.6425255366846</x:v>
      </x:c>
      <x:c r="E21" t="str">
        <x:v>1998Q3</x:v>
      </x:c>
    </x:row>
    <x:row r="22">
      <x:c r="A22" t="n">
        <x:v>1998</x:v>
      </x:c>
      <x:c r="B22" t="n">
        <x:v>9</x:v>
      </x:c>
      <x:c r="C22" t="n">
        <x:v>150.1582818681705</x:v>
      </x:c>
      <x:c r="D22" t="n">
        <x:v>153.7790404368127</x:v>
      </x:c>
      <x:c r="E22" t="str">
        <x:v>1998Q3</x:v>
      </x:c>
    </x:row>
    <x:row r="23">
      <x:c r="A23" t="n">
        <x:v>1998</x:v>
      </x:c>
      <x:c r="B23" t="n">
        <x:v>10</x:v>
      </x:c>
      <x:c r="C23" t="n">
        <x:v>119.2168100014969</x:v>
      </x:c>
      <x:c r="D23" t="n">
        <x:v>112.7969899840551</x:v>
      </x:c>
      <x:c r="E23" t="str">
        <x:v>1998Q4</x:v>
      </x:c>
    </x:row>
    <x:row r="24">
      <x:c r="A24" t="n">
        <x:v>1998</x:v>
      </x:c>
      <x:c r="B24" t="n">
        <x:v>11</x:v>
      </x:c>
      <x:c r="C24" t="n">
        <x:v>101.0953083484351</x:v>
      </x:c>
      <x:c r="D24" t="n">
        <x:v>97.1139019983421</x:v>
      </x:c>
      <x:c r="E24" t="str">
        <x:v>1998Q4</x:v>
      </x:c>
    </x:row>
    <x:row r="25">
      <x:c r="A25" t="n">
        <x:v>1998</x:v>
      </x:c>
      <x:c r="B25" t="n">
        <x:v>12</x:v>
      </x:c>
      <x:c r="C25" t="n">
        <x:v>97.15794505611805</x:v>
      </x:c>
      <x:c r="D25" t="n">
        <x:v>97.22305028075945</x:v>
      </x:c>
      <x:c r="E25" t="str">
        <x:v>1998Q4</x:v>
      </x:c>
    </x:row>
    <x:row r="26">
      <x:c r="A26" t="n">
        <x:v>1999</x:v>
      </x:c>
      <x:c r="B26" t="n">
        <x:v>1</x:v>
      </x:c>
      <x:c r="C26" t="n">
        <x:v>100.1541483862684</x:v>
      </x:c>
      <x:c r="D26" t="n">
        <x:v>98.52108826591282</x:v>
      </x:c>
      <x:c r="E26" t="str">
        <x:v>1999Q1</x:v>
      </x:c>
    </x:row>
    <x:row r="27">
      <x:c r="A27" t="n">
        <x:v>1999</x:v>
      </x:c>
      <x:c r="B27" t="n">
        <x:v>2</x:v>
      </x:c>
      <x:c r="C27" t="n">
        <x:v>79.66238502371345</x:v>
      </x:c>
      <x:c r="D27" t="n">
        <x:v>76.3168684080986</x:v>
      </x:c>
      <x:c r="E27" t="str">
        <x:v>1999Q1</x:v>
      </x:c>
    </x:row>
    <x:row r="28">
      <x:c r="A28" t="n">
        <x:v>1999</x:v>
      </x:c>
      <x:c r="B28" t="n">
        <x:v>3</x:v>
      </x:c>
      <x:c r="C28" t="n">
        <x:v>63.49925649408512</x:v>
      </x:c>
      <x:c r="D28" t="n">
        <x:v>59.02688845267184</x:v>
      </x:c>
      <x:c r="E28" t="str">
        <x:v>1999Q1</x:v>
      </x:c>
    </x:row>
    <x:row r="29">
      <x:c r="A29" t="n">
        <x:v>1999</x:v>
      </x:c>
      <x:c r="B29" t="n">
        <x:v>4</x:v>
      </x:c>
      <x:c r="C29" t="n">
        <x:v>67.25566893174015</x:v>
      </x:c>
      <x:c r="D29" t="n">
        <x:v>66.58477492152073</x:v>
      </x:c>
      <x:c r="E29" t="str">
        <x:v>1999Q2</x:v>
      </x:c>
    </x:row>
    <x:row r="30">
      <x:c r="A30" t="n">
        <x:v>1999</x:v>
      </x:c>
      <x:c r="B30" t="n">
        <x:v>5</x:v>
      </x:c>
      <x:c r="C30" t="n">
        <x:v>69.24411939449834</x:v>
      </x:c>
      <x:c r="D30" t="n">
        <x:v>68.18112188740969</x:v>
      </x:c>
      <x:c r="E30" t="str">
        <x:v>1999Q2</x:v>
      </x:c>
    </x:row>
    <x:row r="31">
      <x:c r="A31" t="n">
        <x:v>1999</x:v>
      </x:c>
      <x:c r="B31" t="n">
        <x:v>6</x:v>
      </x:c>
      <x:c r="C31" t="n">
        <x:v>71.18625400660541</x:v>
      </x:c>
      <x:c r="D31" t="n">
        <x:v>69.95224487845147</x:v>
      </x:c>
      <x:c r="E31" t="str">
        <x:v>1999Q2</x:v>
      </x:c>
    </x:row>
    <x:row r="32">
      <x:c r="A32" t="n">
        <x:v>1999</x:v>
      </x:c>
      <x:c r="B32" t="n">
        <x:v>7</x:v>
      </x:c>
      <x:c r="C32" t="n">
        <x:v>72.73928785996536</x:v>
      </x:c>
      <x:c r="D32" t="n">
        <x:v>72.05626874878566</x:v>
      </x:c>
      <x:c r="E32" t="str">
        <x:v>1999Q3</x:v>
      </x:c>
    </x:row>
    <x:row r="33">
      <x:c r="A33" t="n">
        <x:v>1999</x:v>
      </x:c>
      <x:c r="B33" t="n">
        <x:v>8</x:v>
      </x:c>
      <x:c r="C33" t="n">
        <x:v>67.2866408767418</x:v>
      </x:c>
      <x:c r="D33" t="n">
        <x:v>71.18328681532736</x:v>
      </x:c>
      <x:c r="E33" t="str">
        <x:v>1999Q3</x:v>
      </x:c>
    </x:row>
    <x:row r="34">
      <x:c r="A34" t="n">
        <x:v>1999</x:v>
      </x:c>
      <x:c r="B34" t="n">
        <x:v>9</x:v>
      </x:c>
      <x:c r="C34" t="n">
        <x:v>69.6606903499881</x:v>
      </x:c>
      <x:c r="D34" t="n">
        <x:v>68.76580223446044</x:v>
      </x:c>
      <x:c r="E34" t="str">
        <x:v>1999Q3</x:v>
      </x:c>
    </x:row>
    <x:row r="35">
      <x:c r="A35" t="n">
        <x:v>1999</x:v>
      </x:c>
      <x:c r="B35" t="n">
        <x:v>10</x:v>
      </x:c>
      <x:c r="C35" t="n">
        <x:v>67.00314734675854</x:v>
      </x:c>
      <x:c r="D35" t="n">
        <x:v>68.88113280563024</x:v>
      </x:c>
      <x:c r="E35" t="str">
        <x:v>1999Q4</x:v>
      </x:c>
    </x:row>
    <x:row r="36">
      <x:c r="A36" t="n">
        <x:v>1999</x:v>
      </x:c>
      <x:c r="B36" t="n">
        <x:v>11</x:v>
      </x:c>
      <x:c r="C36" t="n">
        <x:v>69.66609178593839</x:v>
      </x:c>
      <x:c r="D36" t="n">
        <x:v>67.86033682617081</x:v>
      </x:c>
      <x:c r="E36" t="str">
        <x:v>1999Q4</x:v>
      </x:c>
    </x:row>
    <x:row r="37">
      <x:c r="A37" t="n">
        <x:v>1999</x:v>
      </x:c>
      <x:c r="B37" t="n">
        <x:v>12</x:v>
      </x:c>
      <x:c r="C37" t="n">
        <x:v>62.74045344144746</x:v>
      </x:c>
      <x:c r="D37" t="n">
        <x:v>61.59647649702261</x:v>
      </x:c>
      <x:c r="E37" t="str">
        <x:v>1999Q4</x:v>
      </x:c>
    </x:row>
    <x:row r="38">
      <x:c r="A38" t="n">
        <x:v>2000</x:v>
      </x:c>
      <x:c r="B38" t="n">
        <x:v>1</x:v>
      </x:c>
      <x:c r="C38" t="n">
        <x:v>67.11836687367816</x:v>
      </x:c>
      <x:c r="D38" t="n">
        <x:v>69.21836012114646</x:v>
      </x:c>
      <x:c r="E38" t="str">
        <x:v>2000Q1</x:v>
      </x:c>
    </x:row>
    <x:row r="39">
      <x:c r="A39" t="n">
        <x:v>2000</x:v>
      </x:c>
      <x:c r="B39" t="n">
        <x:v>2</x:v>
      </x:c>
      <x:c r="C39" t="n">
        <x:v>62.25512547184814</x:v>
      </x:c>
      <x:c r="D39" t="n">
        <x:v>60.29834708058097</x:v>
      </x:c>
      <x:c r="E39" t="str">
        <x:v>2000Q1</x:v>
      </x:c>
    </x:row>
    <x:row r="40">
      <x:c r="A40" t="n">
        <x:v>2000</x:v>
      </x:c>
      <x:c r="B40" t="n">
        <x:v>3</x:v>
      </x:c>
      <x:c r="C40" t="n">
        <x:v>62.94545901767569</x:v>
      </x:c>
      <x:c r="D40" t="n">
        <x:v>61.79349511054022</x:v>
      </x:c>
      <x:c r="E40" t="str">
        <x:v>2000Q1</x:v>
      </x:c>
    </x:row>
    <x:row r="41">
      <x:c r="A41" t="n">
        <x:v>2000</x:v>
      </x:c>
      <x:c r="B41" t="n">
        <x:v>4</x:v>
      </x:c>
      <x:c r="C41" t="n">
        <x:v>65.18867878593299</x:v>
      </x:c>
      <x:c r="D41" t="n">
        <x:v>61.9695933335657</x:v>
      </x:c>
      <x:c r="E41" t="str">
        <x:v>2000Q2</x:v>
      </x:c>
    </x:row>
    <x:row r="42">
      <x:c r="A42" t="n">
        <x:v>2000</x:v>
      </x:c>
      <x:c r="B42" t="n">
        <x:v>5</x:v>
      </x:c>
      <x:c r="C42" t="n">
        <x:v>87.87262358374875</x:v>
      </x:c>
      <x:c r="D42" t="n">
        <x:v>84.05388345991017</x:v>
      </x:c>
      <x:c r="E42" t="str">
        <x:v>2000Q2</x:v>
      </x:c>
    </x:row>
    <x:row r="43">
      <x:c r="A43" t="n">
        <x:v>2000</x:v>
      </x:c>
      <x:c r="B43" t="n">
        <x:v>6</x:v>
      </x:c>
      <x:c r="C43" t="n">
        <x:v>90.53432797832386</x:v>
      </x:c>
      <x:c r="D43" t="n">
        <x:v>86.4300861847908</x:v>
      </x:c>
      <x:c r="E43" t="str">
        <x:v>2000Q2</x:v>
      </x:c>
    </x:row>
    <x:row r="44">
      <x:c r="A44" t="n">
        <x:v>2000</x:v>
      </x:c>
      <x:c r="B44" t="n">
        <x:v>7</x:v>
      </x:c>
      <x:c r="C44" t="n">
        <x:v>68.55007204194659</x:v>
      </x:c>
      <x:c r="D44" t="n">
        <x:v>64.9261963333836</x:v>
      </x:c>
      <x:c r="E44" t="str">
        <x:v>2000Q3</x:v>
      </x:c>
    </x:row>
    <x:row r="45">
      <x:c r="A45" t="n">
        <x:v>2000</x:v>
      </x:c>
      <x:c r="B45" t="n">
        <x:v>8</x:v>
      </x:c>
      <x:c r="C45" t="n">
        <x:v>55.44061016472334</x:v>
      </x:c>
      <x:c r="D45" t="n">
        <x:v>53.95573293514293</x:v>
      </x:c>
      <x:c r="E45" t="str">
        <x:v>2000Q3</x:v>
      </x:c>
    </x:row>
    <x:row r="46">
      <x:c r="A46" t="n">
        <x:v>2000</x:v>
      </x:c>
      <x:c r="B46" t="n">
        <x:v>9</x:v>
      </x:c>
      <x:c r="C46" t="n">
        <x:v>60.6119012007376</x:v>
      </x:c>
      <x:c r="D46" t="n">
        <x:v>62.87926923253589</x:v>
      </x:c>
      <x:c r="E46" t="str">
        <x:v>2000Q3</x:v>
      </x:c>
    </x:row>
    <x:row r="47">
      <x:c r="A47" t="n">
        <x:v>2000</x:v>
      </x:c>
      <x:c r="B47" t="n">
        <x:v>10</x:v>
      </x:c>
      <x:c r="C47" t="n">
        <x:v>70.20519195594984</x:v>
      </x:c>
      <x:c r="D47" t="n">
        <x:v>70.01567206227988</x:v>
      </x:c>
      <x:c r="E47" t="str">
        <x:v>2000Q4</x:v>
      </x:c>
    </x:row>
    <x:row r="48">
      <x:c r="A48" t="n">
        <x:v>2000</x:v>
      </x:c>
      <x:c r="B48" t="n">
        <x:v>11</x:v>
      </x:c>
      <x:c r="C48" t="n">
        <x:v>107.1972369114437</x:v>
      </x:c>
      <x:c r="D48" t="n">
        <x:v>98.85762962501138</x:v>
      </x:c>
      <x:c r="E48" t="str">
        <x:v>2000Q4</x:v>
      </x:c>
    </x:row>
    <x:row r="49">
      <x:c r="A49" t="n">
        <x:v>2000</x:v>
      </x:c>
      <x:c r="B49" t="n">
        <x:v>12</x:v>
      </x:c>
      <x:c r="C49" t="n">
        <x:v>101.1736935026024</x:v>
      </x:c>
      <x:c r="D49" t="n">
        <x:v>94.69241801940586</x:v>
      </x:c>
      <x:c r="E49" t="str">
        <x:v>2000Q4</x:v>
      </x:c>
    </x:row>
    <x:row r="50">
      <x:c r="A50" t="n">
        <x:v>2001</x:v>
      </x:c>
      <x:c r="B50" t="n">
        <x:v>1</x:v>
      </x:c>
      <x:c r="C50" t="n">
        <x:v>101.4506132575975</x:v>
      </x:c>
      <x:c r="D50" t="n">
        <x:v>95.4767278210851</x:v>
      </x:c>
      <x:c r="E50" t="str">
        <x:v>2001Q1</x:v>
      </x:c>
    </x:row>
    <x:row r="51">
      <x:c r="A51" t="n">
        <x:v>2001</x:v>
      </x:c>
      <x:c r="B51" t="n">
        <x:v>2</x:v>
      </x:c>
      <x:c r="C51" t="n">
        <x:v>98.34653977074392</x:v>
      </x:c>
      <x:c r="D51" t="n">
        <x:v>90.98817414008232</x:v>
      </x:c>
      <x:c r="E51" t="str">
        <x:v>2001Q1</x:v>
      </x:c>
    </x:row>
    <x:row r="52">
      <x:c r="A52" t="n">
        <x:v>2001</x:v>
      </x:c>
      <x:c r="B52" t="n">
        <x:v>3</x:v>
      </x:c>
      <x:c r="C52" t="n">
        <x:v>110.0027148357177</x:v>
      </x:c>
      <x:c r="D52" t="n">
        <x:v>100.3269368042013</x:v>
      </x:c>
      <x:c r="E52" t="str">
        <x:v>2001Q1</x:v>
      </x:c>
    </x:row>
    <x:row r="53">
      <x:c r="A53" t="n">
        <x:v>2001</x:v>
      </x:c>
      <x:c r="B53" t="n">
        <x:v>4</x:v>
      </x:c>
      <x:c r="C53" t="n">
        <x:v>106.3465250076273</x:v>
      </x:c>
      <x:c r="D53" t="n">
        <x:v>94.81448921536519</x:v>
      </x:c>
      <x:c r="E53" t="str">
        <x:v>2001Q2</x:v>
      </x:c>
    </x:row>
    <x:row r="54">
      <x:c r="A54" t="n">
        <x:v>2001</x:v>
      </x:c>
      <x:c r="B54" t="n">
        <x:v>5</x:v>
      </x:c>
      <x:c r="C54" t="n">
        <x:v>84.73834314410244</x:v>
      </x:c>
      <x:c r="D54" t="n">
        <x:v>79.04537777008423</x:v>
      </x:c>
      <x:c r="E54" t="str">
        <x:v>2001Q2</x:v>
      </x:c>
    </x:row>
    <x:row r="55">
      <x:c r="A55" t="n">
        <x:v>2001</x:v>
      </x:c>
      <x:c r="B55" t="n">
        <x:v>6</x:v>
      </x:c>
      <x:c r="C55" t="n">
        <x:v>73.95588069592544</x:v>
      </x:c>
      <x:c r="D55" t="n">
        <x:v>70.34019843271261</x:v>
      </x:c>
      <x:c r="E55" t="str">
        <x:v>2001Q2</x:v>
      </x:c>
    </x:row>
    <x:row r="56">
      <x:c r="A56" t="n">
        <x:v>2001</x:v>
      </x:c>
      <x:c r="B56" t="n">
        <x:v>7</x:v>
      </x:c>
      <x:c r="C56" t="n">
        <x:v>96.77550964487239</x:v>
      </x:c>
      <x:c r="D56" t="n">
        <x:v>87.66136128592362</x:v>
      </x:c>
      <x:c r="E56" t="str">
        <x:v>2001Q3</x:v>
      </x:c>
    </x:row>
    <x:row r="57">
      <x:c r="A57" t="n">
        <x:v>2001</x:v>
      </x:c>
      <x:c r="B57" t="n">
        <x:v>8</x:v>
      </x:c>
      <x:c r="C57" t="n">
        <x:v>82.62726056600789</x:v>
      </x:c>
      <x:c r="D57" t="n">
        <x:v>77.6048548288883</x:v>
      </x:c>
      <x:c r="E57" t="str">
        <x:v>2001Q3</x:v>
      </x:c>
    </x:row>
    <x:row r="58">
      <x:c r="A58" t="n">
        <x:v>2001</x:v>
      </x:c>
      <x:c r="B58" t="n">
        <x:v>9</x:v>
      </x:c>
      <x:c r="C58" t="n">
        <x:v>180.4163153670954</x:v>
      </x:c>
      <x:c r="D58" t="n">
        <x:v>167.4830519153987</x:v>
      </x:c>
      <x:c r="E58" t="str">
        <x:v>2001Q3</x:v>
      </x:c>
    </x:row>
    <x:row r="59">
      <x:c r="A59" t="n">
        <x:v>2001</x:v>
      </x:c>
      <x:c r="B59" t="n">
        <x:v>10</x:v>
      </x:c>
      <x:c r="C59" t="n">
        <x:v>169.7630156948763</x:v>
      </x:c>
      <x:c r="D59" t="n">
        <x:v>160.1939879393522</x:v>
      </x:c>
      <x:c r="E59" t="str">
        <x:v>2001Q4</x:v>
      </x:c>
    </x:row>
    <x:row r="60">
      <x:c r="A60" t="n">
        <x:v>2001</x:v>
      </x:c>
      <x:c r="B60" t="n">
        <x:v>11</x:v>
      </x:c>
      <x:c r="C60" t="n">
        <x:v>126.3887688315771</x:v>
      </x:c>
      <x:c r="D60" t="n">
        <x:v>121.3069347817532</x:v>
      </x:c>
      <x:c r="E60" t="str">
        <x:v>2001Q4</x:v>
      </x:c>
    </x:row>
    <x:row r="61">
      <x:c r="A61" t="n">
        <x:v>2001</x:v>
      </x:c>
      <x:c r="B61" t="n">
        <x:v>12</x:v>
      </x:c>
      <x:c r="C61" t="n">
        <x:v>110.1042737090399</x:v>
      </x:c>
      <x:c r="D61" t="n">
        <x:v>105.2043037230902</x:v>
      </x:c>
      <x:c r="E61" t="str">
        <x:v>2001Q4</x:v>
      </x:c>
    </x:row>
    <x:row r="62">
      <x:c r="A62" t="n">
        <x:v>2002</x:v>
      </x:c>
      <x:c r="B62" t="n">
        <x:v>1</x:v>
      </x:c>
      <x:c r="C62" t="n">
        <x:v>107.3703308207344</x:v>
      </x:c>
      <x:c r="D62" t="n">
        <x:v>103.6336311484439</x:v>
      </x:c>
      <x:c r="E62" t="str">
        <x:v>2002Q1</x:v>
      </x:c>
    </x:row>
    <x:row r="63">
      <x:c r="A63" t="n">
        <x:v>2002</x:v>
      </x:c>
      <x:c r="B63" t="n">
        <x:v>2</x:v>
      </x:c>
      <x:c r="C63" t="n">
        <x:v>86.00212098500353</x:v>
      </x:c>
      <x:c r="D63" t="n">
        <x:v>79.84368035225177</x:v>
      </x:c>
      <x:c r="E63" t="str">
        <x:v>2002Q1</x:v>
      </x:c>
    </x:row>
    <x:row r="64">
      <x:c r="A64" t="n">
        <x:v>2002</x:v>
      </x:c>
      <x:c r="B64" t="n">
        <x:v>3</x:v>
      </x:c>
      <x:c r="C64" t="n">
        <x:v>77.60132416835455</x:v>
      </x:c>
      <x:c r="D64" t="n">
        <x:v>75.52577962733788</x:v>
      </x:c>
      <x:c r="E64" t="str">
        <x:v>2002Q1</x:v>
      </x:c>
    </x:row>
    <x:row r="65">
      <x:c r="A65" t="n">
        <x:v>2002</x:v>
      </x:c>
      <x:c r="B65" t="n">
        <x:v>4</x:v>
      </x:c>
      <x:c r="C65" t="n">
        <x:v>82.78027323411251</x:v>
      </x:c>
      <x:c r="D65" t="n">
        <x:v>81.04589105668036</x:v>
      </x:c>
      <x:c r="E65" t="str">
        <x:v>2002Q2</x:v>
      </x:c>
    </x:row>
    <x:row r="66">
      <x:c r="A66" t="n">
        <x:v>2002</x:v>
      </x:c>
      <x:c r="B66" t="n">
        <x:v>5</x:v>
      </x:c>
      <x:c r="C66" t="n">
        <x:v>80.8730642469094</x:v>
      </x:c>
      <x:c r="D66" t="n">
        <x:v>79.21385394361543</x:v>
      </x:c>
      <x:c r="E66" t="str">
        <x:v>2002Q2</x:v>
      </x:c>
    </x:row>
    <x:row r="67">
      <x:c r="A67" t="n">
        <x:v>2002</x:v>
      </x:c>
      <x:c r="B67" t="n">
        <x:v>6</x:v>
      </x:c>
      <x:c r="C67" t="n">
        <x:v>92.14223624660355</x:v>
      </x:c>
      <x:c r="D67" t="n">
        <x:v>90.14412234394666</x:v>
      </x:c>
      <x:c r="E67" t="str">
        <x:v>2002Q2</x:v>
      </x:c>
    </x:row>
    <x:row r="68">
      <x:c r="A68" t="n">
        <x:v>2002</x:v>
      </x:c>
      <x:c r="B68" t="n">
        <x:v>7</x:v>
      </x:c>
      <x:c r="C68" t="n">
        <x:v>102.6102215241523</x:v>
      </x:c>
      <x:c r="D68" t="n">
        <x:v>98.48145838785494</x:v>
      </x:c>
      <x:c r="E68" t="str">
        <x:v>2002Q3</x:v>
      </x:c>
    </x:row>
    <x:row r="69">
      <x:c r="A69" t="n">
        <x:v>2002</x:v>
      </x:c>
      <x:c r="B69" t="n">
        <x:v>8</x:v>
      </x:c>
      <x:c r="C69" t="n">
        <x:v>107.0345594454289</x:v>
      </x:c>
      <x:c r="D69" t="n">
        <x:v>102.8584218866317</x:v>
      </x:c>
      <x:c r="E69" t="str">
        <x:v>2002Q3</x:v>
      </x:c>
    </x:row>
    <x:row r="70">
      <x:c r="A70" t="n">
        <x:v>2002</x:v>
      </x:c>
      <x:c r="B70" t="n">
        <x:v>9</x:v>
      </x:c>
      <x:c r="C70" t="n">
        <x:v>122.1184807499351</x:v>
      </x:c>
      <x:c r="D70" t="n">
        <x:v>118.2267100425313</x:v>
      </x:c>
      <x:c r="E70" t="str">
        <x:v>2002Q3</x:v>
      </x:c>
    </x:row>
    <x:row r="71">
      <x:c r="A71" t="n">
        <x:v>2002</x:v>
      </x:c>
      <x:c r="B71" t="n">
        <x:v>10</x:v>
      </x:c>
      <x:c r="C71" t="n">
        <x:v>116.9025187213367</x:v>
      </x:c>
      <x:c r="D71" t="n">
        <x:v>114.4204247528619</x:v>
      </x:c>
      <x:c r="E71" t="str">
        <x:v>2002Q4</x:v>
      </x:c>
    </x:row>
    <x:row r="72">
      <x:c r="A72" t="n">
        <x:v>2002</x:v>
      </x:c>
      <x:c r="B72" t="n">
        <x:v>11</x:v>
      </x:c>
      <x:c r="C72" t="n">
        <x:v>123.3289728372812</x:v>
      </x:c>
      <x:c r="D72" t="n">
        <x:v>117.5341299565744</x:v>
      </x:c>
      <x:c r="E72" t="str">
        <x:v>2002Q4</x:v>
      </x:c>
    </x:row>
    <x:row r="73">
      <x:c r="A73" t="n">
        <x:v>2002</x:v>
      </x:c>
      <x:c r="B73" t="n">
        <x:v>12</x:v>
      </x:c>
      <x:c r="C73" t="n">
        <x:v>121.7348995028827</x:v>
      </x:c>
      <x:c r="D73" t="n">
        <x:v>118.5296661426013</x:v>
      </x:c>
      <x:c r="E73" t="str">
        <x:v>2002Q4</x:v>
      </x:c>
    </x:row>
    <x:row r="74">
      <x:c r="A74" t="n">
        <x:v>2003</x:v>
      </x:c>
      <x:c r="B74" t="n">
        <x:v>1</x:v>
      </x:c>
      <x:c r="C74" t="n">
        <x:v>131.7151842446151</x:v>
      </x:c>
      <x:c r="D74" t="n">
        <x:v>123.4446994649198</x:v>
      </x:c>
      <x:c r="E74" t="str">
        <x:v>2003Q1</x:v>
      </x:c>
    </x:row>
    <x:row r="75">
      <x:c r="A75" t="n">
        <x:v>2003</x:v>
      </x:c>
      <x:c r="B75" t="n">
        <x:v>2</x:v>
      </x:c>
      <x:c r="C75" t="n">
        <x:v>140.4651235134393</x:v>
      </x:c>
      <x:c r="D75" t="n">
        <x:v>133.3739597006196</x:v>
      </x:c>
      <x:c r="E75" t="str">
        <x:v>2003Q1</x:v>
      </x:c>
    </x:row>
    <x:row r="76">
      <x:c r="A76" t="n">
        <x:v>2003</x:v>
      </x:c>
      <x:c r="B76" t="n">
        <x:v>3</x:v>
      </x:c>
      <x:c r="C76" t="n">
        <x:v>174.0910199631908</x:v>
      </x:c>
      <x:c r="D76" t="n">
        <x:v>166.3252477064287</x:v>
      </x:c>
      <x:c r="E76" t="str">
        <x:v>2003Q1</x:v>
      </x:c>
    </x:row>
    <x:row r="77">
      <x:c r="A77" t="n">
        <x:v>2003</x:v>
      </x:c>
      <x:c r="B77" t="n">
        <x:v>4</x:v>
      </x:c>
      <x:c r="C77" t="n">
        <x:v>138.4453046571894</x:v>
      </x:c>
      <x:c r="D77" t="n">
        <x:v>134.2196235848159</x:v>
      </x:c>
      <x:c r="E77" t="str">
        <x:v>2003Q2</x:v>
      </x:c>
    </x:row>
    <x:row r="78">
      <x:c r="A78" t="n">
        <x:v>2003</x:v>
      </x:c>
      <x:c r="B78" t="n">
        <x:v>5</x:v>
      </x:c>
      <x:c r="C78" t="n">
        <x:v>106.189611184274</x:v>
      </x:c>
      <x:c r="D78" t="n">
        <x:v>102.7021653270112</x:v>
      </x:c>
      <x:c r="E78" t="str">
        <x:v>2003Q2</x:v>
      </x:c>
    </x:row>
    <x:row r="79">
      <x:c r="A79" t="n">
        <x:v>2003</x:v>
      </x:c>
      <x:c r="B79" t="n">
        <x:v>6</x:v>
      </x:c>
      <x:c r="C79" t="n">
        <x:v>88.49081741238092</x:v>
      </x:c>
      <x:c r="D79" t="n">
        <x:v>82.67120154552015</x:v>
      </x:c>
      <x:c r="E79" t="str">
        <x:v>2003Q2</x:v>
      </x:c>
    </x:row>
    <x:row r="80">
      <x:c r="A80" t="n">
        <x:v>2003</x:v>
      </x:c>
      <x:c r="B80" t="n">
        <x:v>7</x:v>
      </x:c>
      <x:c r="C80" t="n">
        <x:v>81.42104369794649</x:v>
      </x:c>
      <x:c r="D80" t="n">
        <x:v>83.10079075537487</x:v>
      </x:c>
      <x:c r="E80" t="str">
        <x:v>2003Q3</x:v>
      </x:c>
    </x:row>
    <x:row r="81">
      <x:c r="A81" t="n">
        <x:v>2003</x:v>
      </x:c>
      <x:c r="B81" t="n">
        <x:v>8</x:v>
      </x:c>
      <x:c r="C81" t="n">
        <x:v>70.77422100476878</x:v>
      </x:c>
      <x:c r="D81" t="n">
        <x:v>72.64933508494443</x:v>
      </x:c>
      <x:c r="E81" t="str">
        <x:v>2003Q3</x:v>
      </x:c>
    </x:row>
    <x:row r="82">
      <x:c r="A82" t="n">
        <x:v>2003</x:v>
      </x:c>
      <x:c r="B82" t="n">
        <x:v>9</x:v>
      </x:c>
      <x:c r="C82" t="n">
        <x:v>80.43503891680919</x:v>
      </x:c>
      <x:c r="D82" t="n">
        <x:v>77.19761384536923</x:v>
      </x:c>
      <x:c r="E82" t="str">
        <x:v>2003Q3</x:v>
      </x:c>
    </x:row>
    <x:row r="83">
      <x:c r="A83" t="n">
        <x:v>2003</x:v>
      </x:c>
      <x:c r="B83" t="n">
        <x:v>10</x:v>
      </x:c>
      <x:c r="C83" t="n">
        <x:v>76.6052834383175</x:v>
      </x:c>
      <x:c r="D83" t="n">
        <x:v>78.3152085620761</x:v>
      </x:c>
      <x:c r="E83" t="str">
        <x:v>2003Q4</x:v>
      </x:c>
    </x:row>
    <x:row r="84">
      <x:c r="A84" t="n">
        <x:v>2003</x:v>
      </x:c>
      <x:c r="B84" t="n">
        <x:v>11</x:v>
      </x:c>
      <x:c r="C84" t="n">
        <x:v>75.21832485914445</x:v>
      </x:c>
      <x:c r="D84" t="n">
        <x:v>77.79388107461793</x:v>
      </x:c>
      <x:c r="E84" t="str">
        <x:v>2003Q4</x:v>
      </x:c>
    </x:row>
    <x:row r="85">
      <x:c r="A85" t="n">
        <x:v>2003</x:v>
      </x:c>
      <x:c r="B85" t="n">
        <x:v>12</x:v>
      </x:c>
      <x:c r="C85" t="n">
        <x:v>73.53560099517712</x:v>
      </x:c>
      <x:c r="D85" t="n">
        <x:v>75.39484413209868</x:v>
      </x:c>
      <x:c r="E85" t="str">
        <x:v>2003Q4</x:v>
      </x:c>
    </x:row>
    <x:row r="86">
      <x:c r="A86" t="n">
        <x:v>2004</x:v>
      </x:c>
      <x:c r="B86" t="n">
        <x:v>1</x:v>
      </x:c>
      <x:c r="C86" t="n">
        <x:v>73.42207100436268</x:v>
      </x:c>
      <x:c r="D86" t="n">
        <x:v>78.36357267838824</x:v>
      </x:c>
      <x:c r="E86" t="str">
        <x:v>2004Q1</x:v>
      </x:c>
    </x:row>
    <x:row r="87">
      <x:c r="A87" t="n">
        <x:v>2004</x:v>
      </x:c>
      <x:c r="B87" t="n">
        <x:v>2</x:v>
      </x:c>
      <x:c r="C87" t="n">
        <x:v>73.07682000657765</x:v>
      </x:c>
      <x:c r="D87" t="n">
        <x:v>79.49889428081579</x:v>
      </x:c>
      <x:c r="E87" t="str">
        <x:v>2004Q1</x:v>
      </x:c>
    </x:row>
    <x:row r="88">
      <x:c r="A88" t="n">
        <x:v>2004</x:v>
      </x:c>
      <x:c r="B88" t="n">
        <x:v>3</x:v>
      </x:c>
      <x:c r="C88" t="n">
        <x:v>78.15160500676032</x:v>
      </x:c>
      <x:c r="D88" t="n">
        <x:v>75.94550728468565</x:v>
      </x:c>
      <x:c r="E88" t="str">
        <x:v>2004Q1</x:v>
      </x:c>
    </x:row>
    <x:row r="89">
      <x:c r="A89" t="n">
        <x:v>2004</x:v>
      </x:c>
      <x:c r="B89" t="n">
        <x:v>4</x:v>
      </x:c>
      <x:c r="C89" t="n">
        <x:v>77.62995519308139</x:v>
      </x:c>
      <x:c r="D89" t="n">
        <x:v>79.88997080766876</x:v>
      </x:c>
      <x:c r="E89" t="str">
        <x:v>2004Q2</x:v>
      </x:c>
    </x:row>
    <x:row r="90">
      <x:c r="A90" t="n">
        <x:v>2004</x:v>
      </x:c>
      <x:c r="B90" t="n">
        <x:v>5</x:v>
      </x:c>
      <x:c r="C90" t="n">
        <x:v>90.6051105646294</x:v>
      </x:c>
      <x:c r="D90" t="n">
        <x:v>97.08910876119404</x:v>
      </x:c>
      <x:c r="E90" t="str">
        <x:v>2004Q2</x:v>
      </x:c>
    </x:row>
    <x:row r="91">
      <x:c r="A91" t="n">
        <x:v>2004</x:v>
      </x:c>
      <x:c r="B91" t="n">
        <x:v>6</x:v>
      </x:c>
      <x:c r="C91" t="n">
        <x:v>76.81329906397546</x:v>
      </x:c>
      <x:c r="D91" t="n">
        <x:v>77.26990492121843</x:v>
      </x:c>
      <x:c r="E91" t="str">
        <x:v>2004Q2</x:v>
      </x:c>
    </x:row>
    <x:row r="92">
      <x:c r="A92" t="n">
        <x:v>2004</x:v>
      </x:c>
      <x:c r="B92" t="n">
        <x:v>7</x:v>
      </x:c>
      <x:c r="C92" t="n">
        <x:v>75.06626625700662</x:v>
      </x:c>
      <x:c r="D92" t="n">
        <x:v>73.10209574010392</x:v>
      </x:c>
      <x:c r="E92" t="str">
        <x:v>2004Q3</x:v>
      </x:c>
    </x:row>
    <x:row r="93">
      <x:c r="A93" t="n">
        <x:v>2004</x:v>
      </x:c>
      <x:c r="B93" t="n">
        <x:v>8</x:v>
      </x:c>
      <x:c r="C93" t="n">
        <x:v>68.87462424502834</x:v>
      </x:c>
      <x:c r="D93" t="n">
        <x:v>68.0543962246847</x:v>
      </x:c>
      <x:c r="E93" t="str">
        <x:v>2004Q3</x:v>
      </x:c>
    </x:row>
    <x:row r="94">
      <x:c r="A94" t="n">
        <x:v>2004</x:v>
      </x:c>
      <x:c r="B94" t="n">
        <x:v>9</x:v>
      </x:c>
      <x:c r="C94" t="n">
        <x:v>76.77406886316965</x:v>
      </x:c>
      <x:c r="D94" t="n">
        <x:v>73.106615717265</x:v>
      </x:c>
      <x:c r="E94" t="str">
        <x:v>2004Q3</x:v>
      </x:c>
    </x:row>
    <x:row r="95">
      <x:c r="A95" t="n">
        <x:v>2004</x:v>
      </x:c>
      <x:c r="B95" t="n">
        <x:v>10</x:v>
      </x:c>
      <x:c r="C95" t="n">
        <x:v>89.08589003059586</x:v>
      </x:c>
      <x:c r="D95" t="n">
        <x:v>89.62834845140942</x:v>
      </x:c>
      <x:c r="E95" t="str">
        <x:v>2004Q4</x:v>
      </x:c>
    </x:row>
    <x:row r="96">
      <x:c r="A96" t="n">
        <x:v>2004</x:v>
      </x:c>
      <x:c r="B96" t="n">
        <x:v>11</x:v>
      </x:c>
      <x:c r="C96" t="n">
        <x:v>84.49029853146061</x:v>
      </x:c>
      <x:c r="D96" t="n">
        <x:v>81.99326367424297</x:v>
      </x:c>
      <x:c r="E96" t="str">
        <x:v>2004Q4</x:v>
      </x:c>
    </x:row>
    <x:row r="97">
      <x:c r="A97" t="n">
        <x:v>2004</x:v>
      </x:c>
      <x:c r="B97" t="n">
        <x:v>12</x:v>
      </x:c>
      <x:c r="C97" t="n">
        <x:v>66.34377681908308</x:v>
      </x:c>
      <x:c r="D97" t="n">
        <x:v>68.96746142161234</x:v>
      </x:c>
      <x:c r="E97" t="str">
        <x:v>2004Q4</x:v>
      </x:c>
    </x:row>
    <x:row r="98">
      <x:c r="A98" t="n">
        <x:v>2005</x:v>
      </x:c>
      <x:c r="B98" t="n">
        <x:v>1</x:v>
      </x:c>
      <x:c r="C98" t="n">
        <x:v>58.92268692298368</x:v>
      </x:c>
      <x:c r="D98" t="n">
        <x:v>65.34778769450043</x:v>
      </x:c>
      <x:c r="E98" t="str">
        <x:v>2005Q1</x:v>
      </x:c>
    </x:row>
    <x:row r="99">
      <x:c r="A99" t="n">
        <x:v>2005</x:v>
      </x:c>
      <x:c r="B99" t="n">
        <x:v>2</x:v>
      </x:c>
      <x:c r="C99" t="n">
        <x:v>55.16141897777246</x:v>
      </x:c>
      <x:c r="D99" t="n">
        <x:v>58.10687775857453</x:v>
      </x:c>
      <x:c r="E99" t="str">
        <x:v>2005Q1</x:v>
      </x:c>
    </x:row>
    <x:row r="100">
      <x:c r="A100" t="n">
        <x:v>2005</x:v>
      </x:c>
      <x:c r="B100" t="n">
        <x:v>3</x:v>
      </x:c>
      <x:c r="C100" t="n">
        <x:v>53.32587742311485</x:v>
      </x:c>
      <x:c r="D100" t="n">
        <x:v>56.08527206021937</x:v>
      </x:c>
      <x:c r="E100" t="str">
        <x:v>2005Q1</x:v>
      </x:c>
    </x:row>
    <x:row r="101">
      <x:c r="A101" t="n">
        <x:v>2005</x:v>
      </x:c>
      <x:c r="B101" t="n">
        <x:v>4</x:v>
      </x:c>
      <x:c r="C101" t="n">
        <x:v>72.58984790199388</x:v>
      </x:c>
      <x:c r="D101" t="n">
        <x:v>78.37425120275427</x:v>
      </x:c>
      <x:c r="E101" t="str">
        <x:v>2005Q2</x:v>
      </x:c>
    </x:row>
    <x:row r="102">
      <x:c r="A102" t="n">
        <x:v>2005</x:v>
      </x:c>
      <x:c r="B102" t="n">
        <x:v>5</x:v>
      </x:c>
      <x:c r="C102" t="n">
        <x:v>67.86393862456893</x:v>
      </x:c>
      <x:c r="D102" t="n">
        <x:v>65.2716210675647</x:v>
      </x:c>
      <x:c r="E102" t="str">
        <x:v>2005Q2</x:v>
      </x:c>
    </x:row>
    <x:row r="103">
      <x:c r="A103" t="n">
        <x:v>2005</x:v>
      </x:c>
      <x:c r="B103" t="n">
        <x:v>6</x:v>
      </x:c>
      <x:c r="C103" t="n">
        <x:v>70.62583177628798</x:v>
      </x:c>
      <x:c r="D103" t="n">
        <x:v>71.23469956487975</x:v>
      </x:c>
      <x:c r="E103" t="str">
        <x:v>2005Q2</x:v>
      </x:c>
    </x:row>
    <x:row r="104">
      <x:c r="A104" t="n">
        <x:v>2005</x:v>
      </x:c>
      <x:c r="B104" t="n">
        <x:v>7</x:v>
      </x:c>
      <x:c r="C104" t="n">
        <x:v>63.94587032536739</x:v>
      </x:c>
      <x:c r="D104" t="n">
        <x:v>65.56716148726483</x:v>
      </x:c>
      <x:c r="E104" t="str">
        <x:v>2005Q3</x:v>
      </x:c>
    </x:row>
    <x:row r="105">
      <x:c r="A105" t="n">
        <x:v>2005</x:v>
      </x:c>
      <x:c r="B105" t="n">
        <x:v>8</x:v>
      </x:c>
      <x:c r="C105" t="n">
        <x:v>61.79474957829165</x:v>
      </x:c>
      <x:c r="D105" t="n">
        <x:v>62.80243210472688</x:v>
      </x:c>
      <x:c r="E105" t="str">
        <x:v>2005Q3</x:v>
      </x:c>
    </x:row>
    <x:row r="106">
      <x:c r="A106" t="n">
        <x:v>2005</x:v>
      </x:c>
      <x:c r="B106" t="n">
        <x:v>9</x:v>
      </x:c>
      <x:c r="C106" t="n">
        <x:v>92.77383138310267</x:v>
      </x:c>
      <x:c r="D106" t="n">
        <x:v>91.36668104746882</x:v>
      </x:c>
      <x:c r="E106" t="str">
        <x:v>2005Q3</x:v>
      </x:c>
    </x:row>
    <x:row r="107">
      <x:c r="A107" t="n">
        <x:v>2005</x:v>
      </x:c>
      <x:c r="B107" t="n">
        <x:v>10</x:v>
      </x:c>
      <x:c r="C107" t="n">
        <x:v>66.8355716703679</x:v>
      </x:c>
      <x:c r="D107" t="n">
        <x:v>69.63833796817879</x:v>
      </x:c>
      <x:c r="E107" t="str">
        <x:v>2005Q4</x:v>
      </x:c>
    </x:row>
    <x:row r="108">
      <x:c r="A108" t="n">
        <x:v>2005</x:v>
      </x:c>
      <x:c r="B108" t="n">
        <x:v>11</x:v>
      </x:c>
      <x:c r="C108" t="n">
        <x:v>65.72724904997912</x:v>
      </x:c>
      <x:c r="D108" t="n">
        <x:v>63.96844622657752</x:v>
      </x:c>
      <x:c r="E108" t="str">
        <x:v>2005Q4</x:v>
      </x:c>
    </x:row>
    <x:row r="109">
      <x:c r="A109" t="n">
        <x:v>2005</x:v>
      </x:c>
      <x:c r="B109" t="n">
        <x:v>12</x:v>
      </x:c>
      <x:c r="C109" t="n">
        <x:v>61.48582055159048</x:v>
      </x:c>
      <x:c r="D109" t="n">
        <x:v>65.67385860145315</x:v>
      </x:c>
      <x:c r="E109" t="str">
        <x:v>2005Q4</x:v>
      </x:c>
    </x:row>
    <x:row r="110">
      <x:c r="A110" t="n">
        <x:v>2006</x:v>
      </x:c>
      <x:c r="B110" t="n">
        <x:v>1</x:v>
      </x:c>
      <x:c r="C110" t="n">
        <x:v>70.5239237750986</x:v>
      </x:c>
      <x:c r="D110" t="n">
        <x:v>76.53570778576437</x:v>
      </x:c>
      <x:c r="E110" t="str">
        <x:v>2006Q1</x:v>
      </x:c>
    </x:row>
    <x:row r="111">
      <x:c r="A111" t="n">
        <x:v>2006</x:v>
      </x:c>
      <x:c r="B111" t="n">
        <x:v>2</x:v>
      </x:c>
      <x:c r="C111" t="n">
        <x:v>58.76922923464903</x:v>
      </x:c>
      <x:c r="D111" t="n">
        <x:v>59.88178816725608</x:v>
      </x:c>
      <x:c r="E111" t="str">
        <x:v>2006Q1</x:v>
      </x:c>
    </x:row>
    <x:row r="112">
      <x:c r="A112" t="n">
        <x:v>2006</x:v>
      </x:c>
      <x:c r="B112" t="n">
        <x:v>3</x:v>
      </x:c>
      <x:c r="C112" t="n">
        <x:v>58.75842305604125</x:v>
      </x:c>
      <x:c r="D112" t="n">
        <x:v>61.39452432838672</x:v>
      </x:c>
      <x:c r="E112" t="str">
        <x:v>2006Q1</x:v>
      </x:c>
    </x:row>
    <x:row r="113">
      <x:c r="A113" t="n">
        <x:v>2006</x:v>
      </x:c>
      <x:c r="B113" t="n">
        <x:v>4</x:v>
      </x:c>
      <x:c r="C113" t="n">
        <x:v>71.16191104046985</x:v>
      </x:c>
      <x:c r="D113" t="n">
        <x:v>73.29220160512307</x:v>
      </x:c>
      <x:c r="E113" t="str">
        <x:v>2006Q2</x:v>
      </x:c>
    </x:row>
    <x:row r="114">
      <x:c r="A114" t="n">
        <x:v>2006</x:v>
      </x:c>
      <x:c r="B114" t="n">
        <x:v>5</x:v>
      </x:c>
      <x:c r="C114" t="n">
        <x:v>63.61193774597335</x:v>
      </x:c>
      <x:c r="D114" t="n">
        <x:v>63.77957894360824</x:v>
      </x:c>
      <x:c r="E114" t="str">
        <x:v>2006Q2</x:v>
      </x:c>
    </x:row>
    <x:row r="115">
      <x:c r="A115" t="n">
        <x:v>2006</x:v>
      </x:c>
      <x:c r="B115" t="n">
        <x:v>6</x:v>
      </x:c>
      <x:c r="C115" t="n">
        <x:v>73.58925608852142</x:v>
      </x:c>
      <x:c r="D115" t="n">
        <x:v>74.11273908884215</x:v>
      </x:c>
      <x:c r="E115" t="str">
        <x:v>2006Q2</x:v>
      </x:c>
    </x:row>
    <x:row r="116">
      <x:c r="A116" t="n">
        <x:v>2006</x:v>
      </x:c>
      <x:c r="B116" t="n">
        <x:v>7</x:v>
      </x:c>
      <x:c r="C116" t="n">
        <x:v>70.02195499427509</x:v>
      </x:c>
      <x:c r="D116" t="n">
        <x:v>71.71867933448905</x:v>
      </x:c>
      <x:c r="E116" t="str">
        <x:v>2006Q3</x:v>
      </x:c>
    </x:row>
    <x:row r="117">
      <x:c r="A117" t="n">
        <x:v>2006</x:v>
      </x:c>
      <x:c r="B117" t="n">
        <x:v>8</x:v>
      </x:c>
      <x:c r="C117" t="n">
        <x:v>60.76111006379688</x:v>
      </x:c>
      <x:c r="D117" t="n">
        <x:v>64.4785950941109</x:v>
      </x:c>
      <x:c r="E117" t="str">
        <x:v>2006Q3</x:v>
      </x:c>
    </x:row>
    <x:row r="118">
      <x:c r="A118" t="n">
        <x:v>2006</x:v>
      </x:c>
      <x:c r="B118" t="n">
        <x:v>9</x:v>
      </x:c>
      <x:c r="C118" t="n">
        <x:v>57.32734149440684</x:v>
      </x:c>
      <x:c r="D118" t="n">
        <x:v>56.47808975954922</x:v>
      </x:c>
      <x:c r="E118" t="str">
        <x:v>2006Q3</x:v>
      </x:c>
    </x:row>
    <x:row r="119">
      <x:c r="A119" t="n">
        <x:v>2006</x:v>
      </x:c>
      <x:c r="B119" t="n">
        <x:v>10</x:v>
      </x:c>
      <x:c r="C119" t="n">
        <x:v>60.28494973251919</x:v>
      </x:c>
      <x:c r="D119" t="n">
        <x:v>64.87023871341118</x:v>
      </x:c>
      <x:c r="E119" t="str">
        <x:v>2006Q4</x:v>
      </x:c>
    </x:row>
    <x:row r="120">
      <x:c r="A120" t="n">
        <x:v>2006</x:v>
      </x:c>
      <x:c r="B120" t="n">
        <x:v>11</x:v>
      </x:c>
      <x:c r="C120" t="n">
        <x:v>57.98884278822766</x:v>
      </x:c>
      <x:c r="D120" t="n">
        <x:v>63.03267892229215</x:v>
      </x:c>
      <x:c r="E120" t="str">
        <x:v>2006Q4</x:v>
      </x:c>
    </x:row>
    <x:row r="121">
      <x:c r="A121" t="n">
        <x:v>2006</x:v>
      </x:c>
      <x:c r="B121" t="n">
        <x:v>12</x:v>
      </x:c>
      <x:c r="C121" t="n">
        <x:v>56.60205027844032</x:v>
      </x:c>
      <x:c r="D121" t="n">
        <x:v>59.95189245027741</x:v>
      </x:c>
      <x:c r="E121" t="str">
        <x:v>2006Q4</x:v>
      </x:c>
    </x:row>
    <x:row r="122">
      <x:c r="A122" t="n">
        <x:v>2007</x:v>
      </x:c>
      <x:c r="B122" t="n">
        <x:v>1</x:v>
      </x:c>
      <x:c r="C122" t="n">
        <x:v>63.68746457616351</x:v>
      </x:c>
      <x:c r="D122" t="n">
        <x:v>64.25877624485835</x:v>
      </x:c>
      <x:c r="E122" t="str">
        <x:v>2007Q1</x:v>
      </x:c>
    </x:row>
    <x:row r="123">
      <x:c r="A123" t="n">
        <x:v>2007</x:v>
      </x:c>
      <x:c r="B123" t="n">
        <x:v>2</x:v>
      </x:c>
      <x:c r="C123" t="n">
        <x:v>54.58242950241929</x:v>
      </x:c>
      <x:c r="D123" t="n">
        <x:v>57.33990956985226</x:v>
      </x:c>
      <x:c r="E123" t="str">
        <x:v>2007Q1</x:v>
      </x:c>
    </x:row>
    <x:row r="124">
      <x:c r="A124" t="n">
        <x:v>2007</x:v>
      </x:c>
      <x:c r="B124" t="n">
        <x:v>3</x:v>
      </x:c>
      <x:c r="C124" t="n">
        <x:v>64.15966989045556</x:v>
      </x:c>
      <x:c r="D124" t="n">
        <x:v>66.01281197538623</x:v>
      </x:c>
      <x:c r="E124" t="str">
        <x:v>2007Q1</x:v>
      </x:c>
    </x:row>
    <x:row r="125">
      <x:c r="A125" t="n">
        <x:v>2007</x:v>
      </x:c>
      <x:c r="B125" t="n">
        <x:v>4</x:v>
      </x:c>
      <x:c r="C125" t="n">
        <x:v>59.59223981140561</x:v>
      </x:c>
      <x:c r="D125" t="n">
        <x:v>62.85467927390479</x:v>
      </x:c>
      <x:c r="E125" t="str">
        <x:v>2007Q2</x:v>
      </x:c>
    </x:row>
    <x:row r="126">
      <x:c r="A126" t="n">
        <x:v>2007</x:v>
      </x:c>
      <x:c r="B126" t="n">
        <x:v>5</x:v>
      </x:c>
      <x:c r="C126" t="n">
        <x:v>58.22661103265791</x:v>
      </x:c>
      <x:c r="D126" t="n">
        <x:v>58.38755440912268</x:v>
      </x:c>
      <x:c r="E126" t="str">
        <x:v>2007Q2</x:v>
      </x:c>
    </x:row>
    <x:row r="127">
      <x:c r="A127" t="n">
        <x:v>2007</x:v>
      </x:c>
      <x:c r="B127" t="n">
        <x:v>6</x:v>
      </x:c>
      <x:c r="C127" t="n">
        <x:v>57.64732461322791</x:v>
      </x:c>
      <x:c r="D127" t="n">
        <x:v>58.51552987583584</x:v>
      </x:c>
      <x:c r="E127" t="str">
        <x:v>2007Q2</x:v>
      </x:c>
    </x:row>
    <x:row r="128">
      <x:c r="A128" t="n">
        <x:v>2007</x:v>
      </x:c>
      <x:c r="B128" t="n">
        <x:v>7</x:v>
      </x:c>
      <x:c r="C128" t="n">
        <x:v>47.58942470064732</x:v>
      </x:c>
      <x:c r="D128" t="n">
        <x:v>51.23305637144932</x:v>
      </x:c>
      <x:c r="E128" t="str">
        <x:v>2007Q3</x:v>
      </x:c>
    </x:row>
    <x:row r="129">
      <x:c r="A129" t="n">
        <x:v>2007</x:v>
      </x:c>
      <x:c r="B129" t="n">
        <x:v>8</x:v>
      </x:c>
      <x:c r="C129" t="n">
        <x:v>78.55868878237993</x:v>
      </x:c>
      <x:c r="D129" t="n">
        <x:v>76.87927801696496</x:v>
      </x:c>
      <x:c r="E129" t="str">
        <x:v>2007Q3</x:v>
      </x:c>
    </x:row>
    <x:row r="130">
      <x:c r="A130" t="n">
        <x:v>2007</x:v>
      </x:c>
      <x:c r="B130" t="n">
        <x:v>9</x:v>
      </x:c>
      <x:c r="C130" t="n">
        <x:v>99.07331137881707</x:v>
      </x:c>
      <x:c r="D130" t="n">
        <x:v>93.99109797872272</x:v>
      </x:c>
      <x:c r="E130" t="str">
        <x:v>2007Q3</x:v>
      </x:c>
    </x:row>
    <x:row r="131">
      <x:c r="A131" t="n">
        <x:v>2007</x:v>
      </x:c>
      <x:c r="B131" t="n">
        <x:v>10</x:v>
      </x:c>
      <x:c r="C131" t="n">
        <x:v>79.15325531511435</x:v>
      </x:c>
      <x:c r="D131" t="n">
        <x:v>78.62099917099896</x:v>
      </x:c>
      <x:c r="E131" t="str">
        <x:v>2007Q4</x:v>
      </x:c>
    </x:row>
    <x:row r="132">
      <x:c r="A132" t="n">
        <x:v>2007</x:v>
      </x:c>
      <x:c r="B132" t="n">
        <x:v>11</x:v>
      </x:c>
      <x:c r="C132" t="n">
        <x:v>82.60869399599315</x:v>
      </x:c>
      <x:c r="D132" t="n">
        <x:v>78.84807070721703</x:v>
      </x:c>
      <x:c r="E132" t="str">
        <x:v>2007Q4</x:v>
      </x:c>
    </x:row>
    <x:row r="133">
      <x:c r="A133" t="n">
        <x:v>2007</x:v>
      </x:c>
      <x:c r="B133" t="n">
        <x:v>12</x:v>
      </x:c>
      <x:c r="C133" t="n">
        <x:v>96.43052189910276</x:v>
      </x:c>
      <x:c r="D133" t="n">
        <x:v>98.28077098084118</x:v>
      </x:c>
      <x:c r="E133" t="str">
        <x:v>2007Q4</x:v>
      </x:c>
    </x:row>
    <x:row r="134">
      <x:c r="A134" t="n">
        <x:v>2008</x:v>
      </x:c>
      <x:c r="B134" t="n">
        <x:v>1</x:v>
      </x:c>
      <x:c r="C134" t="n">
        <x:v>134.4433152016442</x:v>
      </x:c>
      <x:c r="D134" t="n">
        <x:v>132.3367013388913</x:v>
      </x:c>
      <x:c r="E134" t="str">
        <x:v>2008Q1</x:v>
      </x:c>
    </x:row>
    <x:row r="135">
      <x:c r="A135" t="n">
        <x:v>2008</x:v>
      </x:c>
      <x:c r="B135" t="n">
        <x:v>2</x:v>
      </x:c>
      <x:c r="C135" t="n">
        <x:v>98.04409315140417</x:v>
      </x:c>
      <x:c r="D135" t="n">
        <x:v>96.3933656296707</x:v>
      </x:c>
      <x:c r="E135" t="str">
        <x:v>2008Q1</x:v>
      </x:c>
    </x:row>
    <x:row r="136">
      <x:c r="A136" t="n">
        <x:v>2008</x:v>
      </x:c>
      <x:c r="B136" t="n">
        <x:v>3</x:v>
      </x:c>
      <x:c r="C136" t="n">
        <x:v>117.8840071404911</x:v>
      </x:c>
      <x:c r="D136" t="n">
        <x:v>124.7950095681564</x:v>
      </x:c>
      <x:c r="E136" t="str">
        <x:v>2008Q1</x:v>
      </x:c>
    </x:row>
    <x:row r="137">
      <x:c r="A137" t="n">
        <x:v>2008</x:v>
      </x:c>
      <x:c r="B137" t="n">
        <x:v>4</x:v>
      </x:c>
      <x:c r="C137" t="n">
        <x:v>91.18104658544621</x:v>
      </x:c>
      <x:c r="D137" t="n">
        <x:v>96.60163654349171</x:v>
      </x:c>
      <x:c r="E137" t="str">
        <x:v>2008Q2</x:v>
      </x:c>
    </x:row>
    <x:row r="138">
      <x:c r="A138" t="n">
        <x:v>2008</x:v>
      </x:c>
      <x:c r="B138" t="n">
        <x:v>5</x:v>
      </x:c>
      <x:c r="C138" t="n">
        <x:v>77.87928086737801</x:v>
      </x:c>
      <x:c r="D138" t="n">
        <x:v>80.22377853260278</x:v>
      </x:c>
      <x:c r="E138" t="str">
        <x:v>2008Q2</x:v>
      </x:c>
    </x:row>
    <x:row r="139">
      <x:c r="A139" t="n">
        <x:v>2008</x:v>
      </x:c>
      <x:c r="B139" t="n">
        <x:v>6</x:v>
      </x:c>
      <x:c r="C139" t="n">
        <x:v>87.15987361912487</x:v>
      </x:c>
      <x:c r="D139" t="n">
        <x:v>91.08280531615328</x:v>
      </x:c>
      <x:c r="E139" t="str">
        <x:v>2008Q2</x:v>
      </x:c>
    </x:row>
    <x:row r="140">
      <x:c r="A140" t="n">
        <x:v>2008</x:v>
      </x:c>
      <x:c r="B140" t="n">
        <x:v>7</x:v>
      </x:c>
      <x:c r="C140" t="n">
        <x:v>95.80873200500312</x:v>
      </x:c>
      <x:c r="D140" t="n">
        <x:v>104.8725636696227</x:v>
      </x:c>
      <x:c r="E140" t="str">
        <x:v>2008Q3</x:v>
      </x:c>
    </x:row>
    <x:row r="141">
      <x:c r="A141" t="n">
        <x:v>2008</x:v>
      </x:c>
      <x:c r="B141" t="n">
        <x:v>8</x:v>
      </x:c>
      <x:c r="C141" t="n">
        <x:v>89.7983660348204</x:v>
      </x:c>
      <x:c r="D141" t="n">
        <x:v>96.00844093568575</x:v>
      </x:c>
      <x:c r="E141" t="str">
        <x:v>2008Q3</x:v>
      </x:c>
    </x:row>
    <x:row r="142">
      <x:c r="A142" t="n">
        <x:v>2008</x:v>
      </x:c>
      <x:c r="B142" t="n">
        <x:v>9</x:v>
      </x:c>
      <x:c r="C142" t="n">
        <x:v>162.0022136329375</x:v>
      </x:c>
      <x:c r="D142" t="n">
        <x:v>157.8795137078364</x:v>
      </x:c>
      <x:c r="E142" t="str">
        <x:v>2008Q3</x:v>
      </x:c>
    </x:row>
    <x:row r="143">
      <x:c r="A143" t="n">
        <x:v>2008</x:v>
      </x:c>
      <x:c r="B143" t="n">
        <x:v>10</x:v>
      </x:c>
      <x:c r="C143" t="n">
        <x:v>207.622320238821</x:v>
      </x:c>
      <x:c r="D143" t="n">
        <x:v>207.1169018507849</x:v>
      </x:c>
      <x:c r="E143" t="str">
        <x:v>2008Q4</x:v>
      </x:c>
    </x:row>
    <x:row r="144">
      <x:c r="A144" t="n">
        <x:v>2008</x:v>
      </x:c>
      <x:c r="B144" t="n">
        <x:v>11</x:v>
      </x:c>
      <x:c r="C144" t="n">
        <x:v>143.3028290536437</x:v>
      </x:c>
      <x:c r="D144" t="n">
        <x:v>144.7084248738522</x:v>
      </x:c>
      <x:c r="E144" t="str">
        <x:v>2008Q4</x:v>
      </x:c>
    </x:row>
    <x:row r="145">
      <x:c r="A145" t="n">
        <x:v>2008</x:v>
      </x:c>
      <x:c r="B145" t="n">
        <x:v>12</x:v>
      </x:c>
      <x:c r="C145" t="n">
        <x:v>144.132208074966</x:v>
      </x:c>
      <x:c r="D145" t="n">
        <x:v>146.3932589548845</x:v>
      </x:c>
      <x:c r="E145" t="str">
        <x:v>2008Q4</x:v>
      </x:c>
    </x:row>
    <x:row r="146">
      <x:c r="A146" t="n">
        <x:v>2009</x:v>
      </x:c>
      <x:c r="B146" t="n">
        <x:v>1</x:v>
      </x:c>
      <x:c r="C146" t="n">
        <x:v>145.5367866663985</x:v>
      </x:c>
      <x:c r="D146" t="n">
        <x:v>145.2436810218938</x:v>
      </x:c>
      <x:c r="E146" t="str">
        <x:v>2009Q1</x:v>
      </x:c>
    </x:row>
    <x:row r="147">
      <x:c r="A147" t="n">
        <x:v>2009</x:v>
      </x:c>
      <x:c r="B147" t="n">
        <x:v>2</x:v>
      </x:c>
      <x:c r="C147" t="n">
        <x:v>146.9377232075861</x:v>
      </x:c>
      <x:c r="D147" t="n">
        <x:v>144.2519871899001</x:v>
      </x:c>
      <x:c r="E147" t="str">
        <x:v>2009Q1</x:v>
      </x:c>
    </x:row>
    <x:row r="148">
      <x:c r="A148" t="n">
        <x:v>2009</x:v>
      </x:c>
      <x:c r="B148" t="n">
        <x:v>3</x:v>
      </x:c>
      <x:c r="C148" t="n">
        <x:v>131.6182636878031</x:v>
      </x:c>
      <x:c r="D148" t="n">
        <x:v>134.1933637124454</x:v>
      </x:c>
      <x:c r="E148" t="str">
        <x:v>2009Q1</x:v>
      </x:c>
    </x:row>
    <x:row r="149">
      <x:c r="A149" t="n">
        <x:v>2009</x:v>
      </x:c>
      <x:c r="B149" t="n">
        <x:v>4</x:v>
      </x:c>
      <x:c r="C149" t="n">
        <x:v>101.9515568642744</x:v>
      </x:c>
      <x:c r="D149" t="n">
        <x:v>103.3068549037827</x:v>
      </x:c>
      <x:c r="E149" t="str">
        <x:v>2009Q2</x:v>
      </x:c>
    </x:row>
    <x:row r="150">
      <x:c r="A150" t="n">
        <x:v>2009</x:v>
      </x:c>
      <x:c r="B150" t="n">
        <x:v>5</x:v>
      </x:c>
      <x:c r="C150" t="n">
        <x:v>102.9764838776303</x:v>
      </x:c>
      <x:c r="D150" t="n">
        <x:v>99.71825434960236</x:v>
      </x:c>
      <x:c r="E150" t="str">
        <x:v>2009Q2</x:v>
      </x:c>
    </x:row>
    <x:row r="151">
      <x:c r="A151" t="n">
        <x:v>2009</x:v>
      </x:c>
      <x:c r="B151" t="n">
        <x:v>6</x:v>
      </x:c>
      <x:c r="C151" t="n">
        <x:v>115.9718697507315</x:v>
      </x:c>
      <x:c r="D151" t="n">
        <x:v>125.2964824826896</x:v>
      </x:c>
      <x:c r="E151" t="str">
        <x:v>2009Q2</x:v>
      </x:c>
    </x:row>
    <x:row r="152">
      <x:c r="A152" t="n">
        <x:v>2009</x:v>
      </x:c>
      <x:c r="B152" t="n">
        <x:v>7</x:v>
      </x:c>
      <x:c r="C152" t="n">
        <x:v>104.8255427929358</x:v>
      </x:c>
      <x:c r="D152" t="n">
        <x:v>112.8324455557143</x:v>
      </x:c>
      <x:c r="E152" t="str">
        <x:v>2009Q3</x:v>
      </x:c>
    </x:row>
    <x:row r="153">
      <x:c r="A153" t="n">
        <x:v>2009</x:v>
      </x:c>
      <x:c r="B153" t="n">
        <x:v>8</x:v>
      </x:c>
      <x:c r="C153" t="n">
        <x:v>101.7264121089552</x:v>
      </x:c>
      <x:c r="D153" t="n">
        <x:v>105.2677999923223</x:v>
      </x:c>
      <x:c r="E153" t="str">
        <x:v>2009Q3</x:v>
      </x:c>
    </x:row>
    <x:row r="154">
      <x:c r="A154" t="n">
        <x:v>2009</x:v>
      </x:c>
      <x:c r="B154" t="n">
        <x:v>9</x:v>
      </x:c>
      <x:c r="C154" t="n">
        <x:v>106.3225734252631</x:v>
      </x:c>
      <x:c r="D154" t="n">
        <x:v>115.1337414053036</x:v>
      </x:c>
      <x:c r="E154" t="str">
        <x:v>2009Q3</x:v>
      </x:c>
    </x:row>
    <x:row r="155">
      <x:c r="A155" t="n">
        <x:v>2009</x:v>
      </x:c>
      <x:c r="B155" t="n">
        <x:v>10</x:v>
      </x:c>
      <x:c r="C155" t="n">
        <x:v>91.81894375372265</x:v>
      </x:c>
      <x:c r="D155" t="n">
        <x:v>96.10923492360013</x:v>
      </x:c>
      <x:c r="E155" t="str">
        <x:v>2009Q4</x:v>
      </x:c>
    </x:row>
    <x:row r="156">
      <x:c r="A156" t="n">
        <x:v>2009</x:v>
      </x:c>
      <x:c r="B156" t="n">
        <x:v>11</x:v>
      </x:c>
      <x:c r="C156" t="n">
        <x:v>104.4260608868002</x:v>
      </x:c>
      <x:c r="D156" t="n">
        <x:v>106.4593535322393</x:v>
      </x:c>
      <x:c r="E156" t="str">
        <x:v>2009Q4</x:v>
      </x:c>
    </x:row>
    <x:row r="157">
      <x:c r="A157" t="n">
        <x:v>2009</x:v>
      </x:c>
      <x:c r="B157" t="n">
        <x:v>12</x:v>
      </x:c>
      <x:c r="C157" t="n">
        <x:v>101.7345462905046</x:v>
      </x:c>
      <x:c r="D157" t="n">
        <x:v>103.2067900761895</x:v>
      </x:c>
      <x:c r="E157" t="str">
        <x:v>2009Q4</x:v>
      </x:c>
    </x:row>
    <x:row r="158">
      <x:c r="A158" t="n">
        <x:v>2010</x:v>
      </x:c>
      <x:c r="B158" t="n">
        <x:v>1</x:v>
      </x:c>
      <x:c r="C158" t="n">
        <x:v>117.7431247168963</x:v>
      </x:c>
      <x:c r="D158" t="n">
        <x:v>119.0291521802451</x:v>
      </x:c>
      <x:c r="E158" t="str">
        <x:v>2010Q1</x:v>
      </x:c>
    </x:row>
    <x:row r="159">
      <x:c r="A159" t="n">
        <x:v>2010</x:v>
      </x:c>
      <x:c r="B159" t="n">
        <x:v>2</x:v>
      </x:c>
      <x:c r="C159" t="n">
        <x:v>112.8529711065038</x:v>
      </x:c>
      <x:c r="D159" t="n">
        <x:v>116.8029727483229</x:v>
      </x:c>
      <x:c r="E159" t="str">
        <x:v>2010Q1</x:v>
      </x:c>
    </x:row>
    <x:row r="160">
      <x:c r="A160" t="n">
        <x:v>2010</x:v>
      </x:c>
      <x:c r="B160" t="n">
        <x:v>3</x:v>
      </x:c>
      <x:c r="C160" t="n">
        <x:v>113.0545040392277</x:v>
      </x:c>
      <x:c r="D160" t="n">
        <x:v>117.0408868039508</x:v>
      </x:c>
      <x:c r="E160" t="str">
        <x:v>2010Q1</x:v>
      </x:c>
    </x:row>
    <x:row r="161">
      <x:c r="A161" t="n">
        <x:v>2010</x:v>
      </x:c>
      <x:c r="B161" t="n">
        <x:v>4</x:v>
      </x:c>
      <x:c r="C161" t="n">
        <x:v>108.7098464987483</x:v>
      </x:c>
      <x:c r="D161" t="n">
        <x:v>108.3588271347812</x:v>
      </x:c>
      <x:c r="E161" t="str">
        <x:v>2010Q2</x:v>
      </x:c>
    </x:row>
    <x:row r="162">
      <x:c r="A162" t="n">
        <x:v>2010</x:v>
      </x:c>
      <x:c r="B162" t="n">
        <x:v>5</x:v>
      </x:c>
      <x:c r="C162" t="n">
        <x:v>145.6905782955159</x:v>
      </x:c>
      <x:c r="D162" t="n">
        <x:v>141.6669926962196</x:v>
      </x:c>
      <x:c r="E162" t="str">
        <x:v>2010Q2</x:v>
      </x:c>
    </x:row>
    <x:row r="163">
      <x:c r="A163" t="n">
        <x:v>2010</x:v>
      </x:c>
      <x:c r="B163" t="n">
        <x:v>6</x:v>
      </x:c>
      <x:c r="C163" t="n">
        <x:v>136.2594043401307</x:v>
      </x:c>
      <x:c r="D163" t="n">
        <x:v>137.5151038806815</x:v>
      </x:c>
      <x:c r="E163" t="str">
        <x:v>2010Q2</x:v>
      </x:c>
    </x:row>
    <x:row r="164">
      <x:c r="A164" t="n">
        <x:v>2010</x:v>
      </x:c>
      <x:c r="B164" t="n">
        <x:v>7</x:v>
      </x:c>
      <x:c r="C164" t="n">
        <x:v>147.1701969452474</x:v>
      </x:c>
      <x:c r="D164" t="n">
        <x:v>144.4113411492996</x:v>
      </x:c>
      <x:c r="E164" t="str">
        <x:v>2010Q3</x:v>
      </x:c>
    </x:row>
    <x:row r="165">
      <x:c r="A165" t="n">
        <x:v>2010</x:v>
      </x:c>
      <x:c r="B165" t="n">
        <x:v>8</x:v>
      </x:c>
      <x:c r="C165" t="n">
        <x:v>122.2432498050174</x:v>
      </x:c>
      <x:c r="D165" t="n">
        <x:v>120.029546565338</x:v>
      </x:c>
      <x:c r="E165" t="str">
        <x:v>2010Q3</x:v>
      </x:c>
    </x:row>
    <x:row r="166">
      <x:c r="A166" t="n">
        <x:v>2010</x:v>
      </x:c>
      <x:c r="B166" t="n">
        <x:v>9</x:v>
      </x:c>
      <x:c r="C166" t="n">
        <x:v>132.4371624942168</x:v>
      </x:c>
      <x:c r="D166" t="n">
        <x:v>126.4918220711555</x:v>
      </x:c>
      <x:c r="E166" t="str">
        <x:v>2010Q3</x:v>
      </x:c>
    </x:row>
    <x:row r="167">
      <x:c r="A167" t="n">
        <x:v>2010</x:v>
      </x:c>
      <x:c r="B167" t="n">
        <x:v>10</x:v>
      </x:c>
      <x:c r="C167" t="n">
        <x:v>126.113209707202</x:v>
      </x:c>
      <x:c r="D167" t="n">
        <x:v>122.9963602384194</x:v>
      </x:c>
      <x:c r="E167" t="str">
        <x:v>2010Q4</x:v>
      </x:c>
    </x:row>
    <x:row r="168">
      <x:c r="A168" t="n">
        <x:v>2010</x:v>
      </x:c>
      <x:c r="B168" t="n">
        <x:v>11</x:v>
      </x:c>
      <x:c r="C168" t="n">
        <x:v>130.0168042883002</x:v>
      </x:c>
      <x:c r="D168" t="n">
        <x:v>126.3117706589428</x:v>
      </x:c>
      <x:c r="E168" t="str">
        <x:v>2010Q4</x:v>
      </x:c>
    </x:row>
    <x:row r="169">
      <x:c r="A169" t="n">
        <x:v>2010</x:v>
      </x:c>
      <x:c r="B169" t="n">
        <x:v>12</x:v>
      </x:c>
      <x:c r="C169" t="n">
        <x:v>132.9940848301653</x:v>
      </x:c>
      <x:c r="D169" t="n">
        <x:v>136.3247897897677</x:v>
      </x:c>
      <x:c r="E169" t="str">
        <x:v>2010Q4</x:v>
      </x:c>
    </x:row>
    <x:row r="170">
      <x:c r="A170" t="n">
        <x:v>2011</x:v>
      </x:c>
      <x:c r="B170" t="n">
        <x:v>1</x:v>
      </x:c>
      <x:c r="C170" t="n">
        <x:v>113.6204092400933</x:v>
      </x:c>
      <x:c r="D170" t="n">
        <x:v>120.2835700876358</x:v>
      </x:c>
      <x:c r="E170" t="str">
        <x:v>2011Q1</x:v>
      </x:c>
    </x:row>
    <x:row r="171">
      <x:c r="A171" t="n">
        <x:v>2011</x:v>
      </x:c>
      <x:c r="B171" t="n">
        <x:v>2</x:v>
      </x:c>
      <x:c r="C171" t="n">
        <x:v>95.98441082097455</x:v>
      </x:c>
      <x:c r="D171" t="n">
        <x:v>96.4769959472948</x:v>
      </x:c>
      <x:c r="E171" t="str">
        <x:v>2011Q1</x:v>
      </x:c>
    </x:row>
    <x:row r="172">
      <x:c r="A172" t="n">
        <x:v>2011</x:v>
      </x:c>
      <x:c r="B172" t="n">
        <x:v>3</x:v>
      </x:c>
      <x:c r="C172" t="n">
        <x:v>129.215053316917</x:v>
      </x:c>
      <x:c r="D172" t="n">
        <x:v>128.93732036125</x:v>
      </x:c>
      <x:c r="E172" t="str">
        <x:v>2011Q1</x:v>
      </x:c>
    </x:row>
    <x:row r="173">
      <x:c r="A173" t="n">
        <x:v>2011</x:v>
      </x:c>
      <x:c r="B173" t="n">
        <x:v>4</x:v>
      </x:c>
      <x:c r="C173" t="n">
        <x:v>117.5614697298683</x:v>
      </x:c>
      <x:c r="D173" t="n">
        <x:v>119.9578450012483</x:v>
      </x:c>
      <x:c r="E173" t="str">
        <x:v>2011Q2</x:v>
      </x:c>
    </x:row>
    <x:row r="174">
      <x:c r="A174" t="n">
        <x:v>2011</x:v>
      </x:c>
      <x:c r="B174" t="n">
        <x:v>5</x:v>
      </x:c>
      <x:c r="C174" t="n">
        <x:v>92.9942667499591</x:v>
      </x:c>
      <x:c r="D174" t="n">
        <x:v>92.58849447068941</x:v>
      </x:c>
      <x:c r="E174" t="str">
        <x:v>2011Q2</x:v>
      </x:c>
    </x:row>
    <x:row r="175">
      <x:c r="A175" t="n">
        <x:v>2011</x:v>
      </x:c>
      <x:c r="B175" t="n">
        <x:v>6</x:v>
      </x:c>
      <x:c r="C175" t="n">
        <x:v>124.03132135328</x:v>
      </x:c>
      <x:c r="D175" t="n">
        <x:v>122.8227007281921</x:v>
      </x:c>
      <x:c r="E175" t="str">
        <x:v>2011Q2</x:v>
      </x:c>
    </x:row>
    <x:row r="176">
      <x:c r="A176" t="n">
        <x:v>2011</x:v>
      </x:c>
      <x:c r="B176" t="n">
        <x:v>7</x:v>
      </x:c>
      <x:c r="C176" t="n">
        <x:v>152.225479562456</x:v>
      </x:c>
      <x:c r="D176" t="n">
        <x:v>149.4136552109756</x:v>
      </x:c>
      <x:c r="E176" t="str">
        <x:v>2011Q3</x:v>
      </x:c>
    </x:row>
    <x:row r="177">
      <x:c r="A177" t="n">
        <x:v>2011</x:v>
      </x:c>
      <x:c r="B177" t="n">
        <x:v>8</x:v>
      </x:c>
      <x:c r="C177" t="n">
        <x:v>214.1109242136056</x:v>
      </x:c>
      <x:c r="D177" t="n">
        <x:v>211.7950287959429</x:v>
      </x:c>
      <x:c r="E177" t="str">
        <x:v>2011Q3</x:v>
      </x:c>
    </x:row>
    <x:row r="178">
      <x:c r="A178" t="n">
        <x:v>2011</x:v>
      </x:c>
      <x:c r="B178" t="n">
        <x:v>9</x:v>
      </x:c>
      <x:c r="C178" t="n">
        <x:v>193.2809253365033</x:v>
      </x:c>
      <x:c r="D178" t="n">
        <x:v>192.4977437727313</x:v>
      </x:c>
      <x:c r="E178" t="str">
        <x:v>2011Q3</x:v>
      </x:c>
    </x:row>
    <x:row r="179">
      <x:c r="A179" t="n">
        <x:v>2011</x:v>
      </x:c>
      <x:c r="B179" t="n">
        <x:v>10</x:v>
      </x:c>
      <x:c r="C179" t="n">
        <x:v>165.3645547597379</x:v>
      </x:c>
      <x:c r="D179" t="n">
        <x:v>169.2490377452069</x:v>
      </x:c>
      <x:c r="E179" t="str">
        <x:v>2011Q4</x:v>
      </x:c>
    </x:row>
    <x:row r="180">
      <x:c r="A180" t="n">
        <x:v>2011</x:v>
      </x:c>
      <x:c r="B180" t="n">
        <x:v>11</x:v>
      </x:c>
      <x:c r="C180" t="n">
        <x:v>190.8323639701526</x:v>
      </x:c>
      <x:c r="D180" t="n">
        <x:v>192.9863705915601</x:v>
      </x:c>
      <x:c r="E180" t="str">
        <x:v>2011Q4</x:v>
      </x:c>
    </x:row>
    <x:row r="181">
      <x:c r="A181" t="n">
        <x:v>2011</x:v>
      </x:c>
      <x:c r="B181" t="n">
        <x:v>12</x:v>
      </x:c>
      <x:c r="C181" t="n">
        <x:v>176.1900003759928</x:v>
      </x:c>
      <x:c r="D181" t="n">
        <x:v>181.3997422803069</x:v>
      </x:c>
      <x:c r="E181" t="str">
        <x:v>2011Q4</x:v>
      </x:c>
    </x:row>
    <x:row r="182">
      <x:c r="A182" t="n">
        <x:v>2012</x:v>
      </x:c>
      <x:c r="B182" t="n">
        <x:v>1</x:v>
      </x:c>
      <x:c r="C182" t="n">
        <x:v>153.4360095563403</x:v>
      </x:c>
      <x:c r="D182" t="n">
        <x:v>155.9573379978291</x:v>
      </x:c>
      <x:c r="E182" t="str">
        <x:v>2012Q1</x:v>
      </x:c>
    </x:row>
    <x:row r="183">
      <x:c r="A183" t="n">
        <x:v>2012</x:v>
      </x:c>
      <x:c r="B183" t="n">
        <x:v>2</x:v>
      </x:c>
      <x:c r="C183" t="n">
        <x:v>139.7903210574752</x:v>
      </x:c>
      <x:c r="D183" t="n">
        <x:v>144.414368641072</x:v>
      </x:c>
      <x:c r="E183" t="str">
        <x:v>2012Q1</x:v>
      </x:c>
    </x:row>
    <x:row r="184">
      <x:c r="A184" t="n">
        <x:v>2012</x:v>
      </x:c>
      <x:c r="B184" t="n">
        <x:v>3</x:v>
      </x:c>
      <x:c r="C184" t="n">
        <x:v>131.1235662016936</x:v>
      </x:c>
      <x:c r="D184" t="n">
        <x:v>141.6905661711687</x:v>
      </x:c>
      <x:c r="E184" t="str">
        <x:v>2012Q1</x:v>
      </x:c>
    </x:row>
    <x:row r="185">
      <x:c r="A185" t="n">
        <x:v>2012</x:v>
      </x:c>
      <x:c r="B185" t="n">
        <x:v>4</x:v>
      </x:c>
      <x:c r="C185" t="n">
        <x:v>128.0861260316433</x:v>
      </x:c>
      <x:c r="D185" t="n">
        <x:v>132.2505863817842</x:v>
      </x:c>
      <x:c r="E185" t="str">
        <x:v>2012Q2</x:v>
      </x:c>
    </x:row>
    <x:row r="186">
      <x:c r="A186" t="n">
        <x:v>2012</x:v>
      </x:c>
      <x:c r="B186" t="n">
        <x:v>5</x:v>
      </x:c>
      <x:c r="C186" t="n">
        <x:v>157.8596587429337</x:v>
      </x:c>
      <x:c r="D186" t="n">
        <x:v>161.7084537221397</x:v>
      </x:c>
      <x:c r="E186" t="str">
        <x:v>2012Q2</x:v>
      </x:c>
    </x:row>
    <x:row r="187">
      <x:c r="A187" t="n">
        <x:v>2012</x:v>
      </x:c>
      <x:c r="B187" t="n">
        <x:v>6</x:v>
      </x:c>
      <x:c r="C187" t="n">
        <x:v>181.5910619006</x:v>
      </x:c>
      <x:c r="D187" t="n">
        <x:v>184.3868334217321</x:v>
      </x:c>
      <x:c r="E187" t="str">
        <x:v>2012Q2</x:v>
      </x:c>
    </x:row>
    <x:row r="188">
      <x:c r="A188" t="n">
        <x:v>2012</x:v>
      </x:c>
      <x:c r="B188" t="n">
        <x:v>7</x:v>
      </x:c>
      <x:c r="C188" t="n">
        <x:v>149.9781689499673</x:v>
      </x:c>
      <x:c r="D188" t="n">
        <x:v>149.4957276602886</x:v>
      </x:c>
      <x:c r="E188" t="str">
        <x:v>2012Q3</x:v>
      </x:c>
    </x:row>
    <x:row r="189">
      <x:c r="A189" t="n">
        <x:v>2012</x:v>
      </x:c>
      <x:c r="B189" t="n">
        <x:v>8</x:v>
      </x:c>
      <x:c r="C189" t="n">
        <x:v>116.1715729043119</x:v>
      </x:c>
      <x:c r="D189" t="n">
        <x:v>116.9654251203319</x:v>
      </x:c>
      <x:c r="E189" t="str">
        <x:v>2012Q3</x:v>
      </x:c>
    </x:row>
    <x:row r="190">
      <x:c r="A190" t="n">
        <x:v>2012</x:v>
      </x:c>
      <x:c r="B190" t="n">
        <x:v>9</x:v>
      </x:c>
      <x:c r="C190" t="n">
        <x:v>151.5081051920763</x:v>
      </x:c>
      <x:c r="D190" t="n">
        <x:v>152.7194123444379</x:v>
      </x:c>
      <x:c r="E190" t="str">
        <x:v>2012Q3</x:v>
      </x:c>
    </x:row>
    <x:row r="191">
      <x:c r="A191" t="n">
        <x:v>2012</x:v>
      </x:c>
      <x:c r="B191" t="n">
        <x:v>10</x:v>
      </x:c>
      <x:c r="C191" t="n">
        <x:v>149.6243330487754</x:v>
      </x:c>
      <x:c r="D191" t="n">
        <x:v>149.0063948828605</x:v>
      </x:c>
      <x:c r="E191" t="str">
        <x:v>2012Q4</x:v>
      </x:c>
    </x:row>
    <x:row r="192">
      <x:c r="A192" t="n">
        <x:v>2012</x:v>
      </x:c>
      <x:c r="B192" t="n">
        <x:v>11</x:v>
      </x:c>
      <x:c r="C192" t="n">
        <x:v>163.3357832106873</x:v>
      </x:c>
      <x:c r="D192" t="n">
        <x:v>157.6319951106954</x:v>
      </x:c>
      <x:c r="E192" t="str">
        <x:v>2012Q4</x:v>
      </x:c>
    </x:row>
    <x:row r="193">
      <x:c r="A193" t="n">
        <x:v>2012</x:v>
      </x:c>
      <x:c r="B193" t="n">
        <x:v>12</x:v>
      </x:c>
      <x:c r="C193" t="n">
        <x:v>168.1321614811814</x:v>
      </x:c>
      <x:c r="D193" t="n">
        <x:v>166.1499224036052</x:v>
      </x:c>
      <x:c r="E193" t="str">
        <x:v>2012Q4</x:v>
      </x:c>
    </x:row>
    <x:row r="194">
      <x:c r="A194" t="n">
        <x:v>2013</x:v>
      </x:c>
      <x:c r="B194" t="n">
        <x:v>1</x:v>
      </x:c>
      <x:c r="C194" t="n">
        <x:v>165.0466980443021</x:v>
      </x:c>
      <x:c r="D194" t="n">
        <x:v>162.7768890310315</x:v>
      </x:c>
      <x:c r="E194" t="str">
        <x:v>2013Q1</x:v>
      </x:c>
    </x:row>
    <x:row r="195">
      <x:c r="A195" t="n">
        <x:v>2013</x:v>
      </x:c>
      <x:c r="B195" t="n">
        <x:v>2</x:v>
      </x:c>
      <x:c r="C195" t="n">
        <x:v>121.0860968262829</x:v>
      </x:c>
      <x:c r="D195" t="n">
        <x:v>120.8938708946461</x:v>
      </x:c>
      <x:c r="E195" t="str">
        <x:v>2013Q1</x:v>
      </x:c>
    </x:row>
    <x:row r="196">
      <x:c r="A196" t="n">
        <x:v>2013</x:v>
      </x:c>
      <x:c r="B196" t="n">
        <x:v>3</x:v>
      </x:c>
      <x:c r="C196" t="n">
        <x:v>143.043668268079</x:v>
      </x:c>
      <x:c r="D196" t="n">
        <x:v>142.0895950850064</x:v>
      </x:c>
      <x:c r="E196" t="str">
        <x:v>2013Q1</x:v>
      </x:c>
    </x:row>
    <x:row r="197">
      <x:c r="A197" t="n">
        <x:v>2013</x:v>
      </x:c>
      <x:c r="B197" t="n">
        <x:v>4</x:v>
      </x:c>
      <x:c r="C197" t="n">
        <x:v>134.1297587930149</x:v>
      </x:c>
      <x:c r="D197" t="n">
        <x:v>135.8677845631692</x:v>
      </x:c>
      <x:c r="E197" t="str">
        <x:v>2013Q2</x:v>
      </x:c>
    </x:row>
    <x:row r="198">
      <x:c r="A198" t="n">
        <x:v>2013</x:v>
      </x:c>
      <x:c r="B198" t="n">
        <x:v>5</x:v>
      </x:c>
      <x:c r="C198" t="n">
        <x:v>106.1820570512464</x:v>
      </x:c>
      <x:c r="D198" t="n">
        <x:v>105.6432853673732</x:v>
      </x:c>
      <x:c r="E198" t="str">
        <x:v>2013Q2</x:v>
      </x:c>
    </x:row>
    <x:row r="199">
      <x:c r="A199" t="n">
        <x:v>2013</x:v>
      </x:c>
      <x:c r="B199" t="n">
        <x:v>6</x:v>
      </x:c>
      <x:c r="C199" t="n">
        <x:v>126.1988806368661</x:v>
      </x:c>
      <x:c r="D199" t="n">
        <x:v>127.2682891387665</x:v>
      </x:c>
      <x:c r="E199" t="str">
        <x:v>2013Q2</x:v>
      </x:c>
    </x:row>
    <x:row r="200">
      <x:c r="A200" t="n">
        <x:v>2013</x:v>
      </x:c>
      <x:c r="B200" t="n">
        <x:v>7</x:v>
      </x:c>
      <x:c r="C200" t="n">
        <x:v>107.4543164330492</x:v>
      </x:c>
      <x:c r="D200" t="n">
        <x:v>107.2580521534088</x:v>
      </x:c>
      <x:c r="E200" t="str">
        <x:v>2013Q3</x:v>
      </x:c>
    </x:row>
    <x:row r="201">
      <x:c r="A201" t="n">
        <x:v>2013</x:v>
      </x:c>
      <x:c r="B201" t="n">
        <x:v>8</x:v>
      </x:c>
      <x:c r="C201" t="n">
        <x:v>118.4234387551392</x:v>
      </x:c>
      <x:c r="D201" t="n">
        <x:v>124.0941758050141</x:v>
      </x:c>
      <x:c r="E201" t="str">
        <x:v>2013Q3</x:v>
      </x:c>
    </x:row>
    <x:row r="202">
      <x:c r="A202" t="n">
        <x:v>2013</x:v>
      </x:c>
      <x:c r="B202" t="n">
        <x:v>9</x:v>
      </x:c>
      <x:c r="C202" t="n">
        <x:v>136.9854768494575</x:v>
      </x:c>
      <x:c r="D202" t="n">
        <x:v>138.4098943757962</x:v>
      </x:c>
      <x:c r="E202" t="str">
        <x:v>2013Q3</x:v>
      </x:c>
    </x:row>
    <x:row r="203">
      <x:c r="A203" t="n">
        <x:v>2013</x:v>
      </x:c>
      <x:c r="B203" t="n">
        <x:v>10</x:v>
      </x:c>
      <x:c r="C203" t="n">
        <x:v>166.4755668368697</x:v>
      </x:c>
      <x:c r="D203" t="n">
        <x:v>163.7132600416951</x:v>
      </x:c>
      <x:c r="E203" t="str">
        <x:v>2013Q4</x:v>
      </x:c>
    </x:row>
    <x:row r="204">
      <x:c r="A204" t="n">
        <x:v>2013</x:v>
      </x:c>
      <x:c r="B204" t="n">
        <x:v>11</x:v>
      </x:c>
      <x:c r="C204" t="n">
        <x:v>102.3966064970933</x:v>
      </x:c>
      <x:c r="D204" t="n">
        <x:v>104.7706241385151</x:v>
      </x:c>
      <x:c r="E204" t="str">
        <x:v>2013Q4</x:v>
      </x:c>
    </x:row>
    <x:row r="205">
      <x:c r="A205" t="n">
        <x:v>2013</x:v>
      </x:c>
      <x:c r="B205" t="n">
        <x:v>12</x:v>
      </x:c>
      <x:c r="C205" t="n">
        <x:v>120.2091786768478</x:v>
      </x:c>
      <x:c r="D205" t="n">
        <x:v>123.0826218988315</x:v>
      </x:c>
      <x:c r="E205" t="str">
        <x:v>2013Q4</x:v>
      </x:c>
    </x:row>
    <x:row r="206">
      <x:c r="A206" t="n">
        <x:v>2014</x:v>
      </x:c>
      <x:c r="B206" t="n">
        <x:v>1</x:v>
      </x:c>
      <x:c r="C206" t="n">
        <x:v>113.8494595238549</x:v>
      </x:c>
      <x:c r="D206" t="n">
        <x:v>116.6770163478517</x:v>
      </x:c>
      <x:c r="E206" t="str">
        <x:v>2014Q1</x:v>
      </x:c>
    </x:row>
    <x:row r="207">
      <x:c r="A207" t="n">
        <x:v>2014</x:v>
      </x:c>
      <x:c r="B207" t="n">
        <x:v>2</x:v>
      </x:c>
      <x:c r="C207" t="n">
        <x:v>99.67943551325502</x:v>
      </x:c>
      <x:c r="D207" t="n">
        <x:v>98.4775401087587</x:v>
      </x:c>
      <x:c r="E207" t="str">
        <x:v>2014Q1</x:v>
      </x:c>
    </x:row>
    <x:row r="208">
      <x:c r="A208" t="n">
        <x:v>2014</x:v>
      </x:c>
      <x:c r="B208" t="n">
        <x:v>3</x:v>
      </x:c>
      <x:c r="C208" t="n">
        <x:v>112.4823442313246</x:v>
      </x:c>
      <x:c r="D208" t="n">
        <x:v>110.6567746172889</x:v>
      </x:c>
      <x:c r="E208" t="str">
        <x:v>2014Q1</x:v>
      </x:c>
    </x:row>
    <x:row r="209">
      <x:c r="A209" t="n">
        <x:v>2014</x:v>
      </x:c>
      <x:c r="B209" t="n">
        <x:v>4</x:v>
      </x:c>
      <x:c r="C209" t="n">
        <x:v>108.5106719733689</x:v>
      </x:c>
      <x:c r="D209" t="n">
        <x:v>113.6722912986553</x:v>
      </x:c>
      <x:c r="E209" t="str">
        <x:v>2014Q2</x:v>
      </x:c>
    </x:row>
    <x:row r="210">
      <x:c r="A210" t="n">
        <x:v>2014</x:v>
      </x:c>
      <x:c r="B210" t="n">
        <x:v>5</x:v>
      </x:c>
      <x:c r="C210" t="n">
        <x:v>105.3138109815688</x:v>
      </x:c>
      <x:c r="D210" t="n">
        <x:v>108.1493184426842</x:v>
      </x:c>
      <x:c r="E210" t="str">
        <x:v>2014Q2</x:v>
      </x:c>
    </x:row>
    <x:row r="211">
      <x:c r="A211" t="n">
        <x:v>2014</x:v>
      </x:c>
      <x:c r="B211" t="n">
        <x:v>6</x:v>
      </x:c>
      <x:c r="C211" t="n">
        <x:v>90.19986951782211</x:v>
      </x:c>
      <x:c r="D211" t="n">
        <x:v>93.51027529673644</x:v>
      </x:c>
      <x:c r="E211" t="str">
        <x:v>2014Q2</x:v>
      </x:c>
    </x:row>
    <x:row r="212">
      <x:c r="A212" t="n">
        <x:v>2014</x:v>
      </x:c>
      <x:c r="B212" t="n">
        <x:v>7</x:v>
      </x:c>
      <x:c r="C212" t="n">
        <x:v>92.63094910141204</x:v>
      </x:c>
      <x:c r="D212" t="n">
        <x:v>96.33337657309704</x:v>
      </x:c>
      <x:c r="E212" t="str">
        <x:v>2014Q3</x:v>
      </x:c>
    </x:row>
    <x:row r="213">
      <x:c r="A213" t="n">
        <x:v>2014</x:v>
      </x:c>
      <x:c r="B213" t="n">
        <x:v>8</x:v>
      </x:c>
      <x:c r="C213" t="n">
        <x:v>96.10813447460292</x:v>
      </x:c>
      <x:c r="D213" t="n">
        <x:v>102.6543957571234</x:v>
      </x:c>
      <x:c r="E213" t="str">
        <x:v>2014Q3</x:v>
      </x:c>
    </x:row>
    <x:row r="214">
      <x:c r="A214" t="n">
        <x:v>2014</x:v>
      </x:c>
      <x:c r="B214" t="n">
        <x:v>9</x:v>
      </x:c>
      <x:c r="C214" t="n">
        <x:v>119.6554026456444</x:v>
      </x:c>
      <x:c r="D214" t="n">
        <x:v>124.3309927504579</x:v>
      </x:c>
      <x:c r="E214" t="str">
        <x:v>2014Q3</x:v>
      </x:c>
    </x:row>
    <x:row r="215">
      <x:c r="A215" t="n">
        <x:v>2014</x:v>
      </x:c>
      <x:c r="B215" t="n">
        <x:v>10</x:v>
      </x:c>
      <x:c r="C215" t="n">
        <x:v>110.9686904220463</x:v>
      </x:c>
      <x:c r="D215" t="n">
        <x:v>111.7279682437764</x:v>
      </x:c>
      <x:c r="E215" t="str">
        <x:v>2014Q4</x:v>
      </x:c>
    </x:row>
    <x:row r="216">
      <x:c r="A216" t="n">
        <x:v>2014</x:v>
      </x:c>
      <x:c r="B216" t="n">
        <x:v>11</x:v>
      </x:c>
      <x:c r="C216" t="n">
        <x:v>117.379399400781</x:v>
      </x:c>
      <x:c r="D216" t="n">
        <x:v>124.0055440079745</x:v>
      </x:c>
      <x:c r="E216" t="str">
        <x:v>2014Q4</x:v>
      </x:c>
    </x:row>
    <x:row r="217">
      <x:c r="A217" t="n">
        <x:v>2014</x:v>
      </x:c>
      <x:c r="B217" t="n">
        <x:v>12</x:v>
      </x:c>
      <x:c r="C217" t="n">
        <x:v>109.4975898721688</x:v>
      </x:c>
      <x:c r="D217" t="n">
        <x:v>111.6278690298422</x:v>
      </x:c>
      <x:c r="E217" t="str">
        <x:v>2014Q4</x:v>
      </x:c>
    </x:row>
    <x:row r="218">
      <x:c r="A218" t="n">
        <x:v>2015</x:v>
      </x:c>
      <x:c r="B218" t="n">
        <x:v>1</x:v>
      </x:c>
      <x:c r="C218" t="n">
        <x:v>126.9913661804881</x:v>
      </x:c>
      <x:c r="D218" t="n">
        <x:v>131.853125048956</x:v>
      </x:c>
      <x:c r="E218" t="str">
        <x:v>2015Q1</x:v>
      </x:c>
    </x:row>
    <x:row r="219">
      <x:c r="A219" t="n">
        <x:v>2015</x:v>
      </x:c>
      <x:c r="B219" t="n">
        <x:v>2</x:v>
      </x:c>
      <x:c r="C219" t="n">
        <x:v>113.9329595402655</x:v>
      </x:c>
      <x:c r="D219" t="n">
        <x:v>119.7903111796753</x:v>
      </x:c>
      <x:c r="E219" t="str">
        <x:v>2015Q1</x:v>
      </x:c>
    </x:row>
    <x:row r="220">
      <x:c r="A220" t="n">
        <x:v>2015</x:v>
      </x:c>
      <x:c r="B220" t="n">
        <x:v>3</x:v>
      </x:c>
      <x:c r="C220" t="n">
        <x:v>109.9546009851734</x:v>
      </x:c>
      <x:c r="D220" t="n">
        <x:v>113.9350988034329</x:v>
      </x:c>
      <x:c r="E220" t="str">
        <x:v>2015Q1</x:v>
      </x:c>
    </x:row>
    <x:row r="221">
      <x:c r="A221" t="n">
        <x:v>2015</x:v>
      </x:c>
      <x:c r="B221" t="n">
        <x:v>4</x:v>
      </x:c>
      <x:c r="C221" t="n">
        <x:v>99.39362660762374</x:v>
      </x:c>
      <x:c r="D221" t="n">
        <x:v>97.96794487558367</x:v>
      </x:c>
      <x:c r="E221" t="str">
        <x:v>2015Q2</x:v>
      </x:c>
    </x:row>
    <x:row r="222">
      <x:c r="A222" t="n">
        <x:v>2015</x:v>
      </x:c>
      <x:c r="B222" t="n">
        <x:v>5</x:v>
      </x:c>
      <x:c r="C222" t="n">
        <x:v>102.952314875813</x:v>
      </x:c>
      <x:c r="D222" t="n">
        <x:v>99.38876038950698</x:v>
      </x:c>
      <x:c r="E222" t="str">
        <x:v>2015Q2</x:v>
      </x:c>
    </x:row>
    <x:row r="223">
      <x:c r="A223" t="n">
        <x:v>2015</x:v>
      </x:c>
      <x:c r="B223" t="n">
        <x:v>6</x:v>
      </x:c>
      <x:c r="C223" t="n">
        <x:v>117.9446271541501</x:v>
      </x:c>
      <x:c r="D223" t="n">
        <x:v>116.4274444749404</x:v>
      </x:c>
      <x:c r="E223" t="str">
        <x:v>2015Q2</x:v>
      </x:c>
    </x:row>
    <x:row r="224">
      <x:c r="A224" t="n">
        <x:v>2015</x:v>
      </x:c>
      <x:c r="B224" t="n">
        <x:v>7</x:v>
      </x:c>
      <x:c r="C224" t="n">
        <x:v>121.8380240019526</x:v>
      </x:c>
      <x:c r="D224" t="n">
        <x:v>119.836546325918</x:v>
      </x:c>
      <x:c r="E224" t="str">
        <x:v>2015Q3</x:v>
      </x:c>
    </x:row>
    <x:row r="225">
      <x:c r="A225" t="n">
        <x:v>2015</x:v>
      </x:c>
      <x:c r="B225" t="n">
        <x:v>8</x:v>
      </x:c>
      <x:c r="C225" t="n">
        <x:v>118.4947928821503</x:v>
      </x:c>
      <x:c r="D225" t="n">
        <x:v>115.2722469050273</x:v>
      </x:c>
      <x:c r="E225" t="str">
        <x:v>2015Q3</x:v>
      </x:c>
    </x:row>
    <x:row r="226">
      <x:c r="A226" t="n">
        <x:v>2015</x:v>
      </x:c>
      <x:c r="B226" t="n">
        <x:v>9</x:v>
      </x:c>
      <x:c r="C226" t="n">
        <x:v>151.9295075407303</x:v>
      </x:c>
      <x:c r="D226" t="n">
        <x:v>151.0103806956535</x:v>
      </x:c>
      <x:c r="E226" t="str">
        <x:v>2015Q3</x:v>
      </x:c>
    </x:row>
    <x:row r="227">
      <x:c r="A227" t="n">
        <x:v>2015</x:v>
      </x:c>
      <x:c r="B227" t="n">
        <x:v>10</x:v>
      </x:c>
      <x:c r="C227" t="n">
        <x:v>114.3840593054632</x:v>
      </x:c>
      <x:c r="D227" t="n">
        <x:v>112.7352108481841</x:v>
      </x:c>
      <x:c r="E227" t="str">
        <x:v>2015Q4</x:v>
      </x:c>
    </x:row>
    <x:row r="228">
      <x:c r="A228" t="n">
        <x:v>2015</x:v>
      </x:c>
      <x:c r="B228" t="n">
        <x:v>11</x:v>
      </x:c>
      <x:c r="C228" t="n">
        <x:v>103.4104999976285</x:v>
      </x:c>
      <x:c r="D228" t="n">
        <x:v>102.6740775580479</x:v>
      </x:c>
      <x:c r="E228" t="str">
        <x:v>2015Q4</x:v>
      </x:c>
    </x:row>
    <x:row r="229">
      <x:c r="A229" t="n">
        <x:v>2015</x:v>
      </x:c>
      <x:c r="B229" t="n">
        <x:v>12</x:v>
      </x:c>
      <x:c r="C229" t="n">
        <x:v>110.7188150392273</x:v>
      </x:c>
      <x:c r="D229" t="n">
        <x:v>113.6538690270981</x:v>
      </x:c>
      <x:c r="E229" t="str">
        <x:v>2015Q4</x:v>
      </x:c>
    </x:row>
    <x:row r="230">
      <x:c r="A230" t="n">
        <x:v>2016</x:v>
      </x:c>
      <x:c r="B230" t="n">
        <x:v>1</x:v>
      </x:c>
      <x:c r="C230" t="n">
        <x:v>143.1551187867575</x:v>
      </x:c>
      <x:c r="D230" t="n">
        <x:v>138.0435599669756</x:v>
      </x:c>
      <x:c r="E230" t="str">
        <x:v>2016Q1</x:v>
      </x:c>
    </x:row>
    <x:row r="231">
      <x:c r="A231" t="n">
        <x:v>2016</x:v>
      </x:c>
      <x:c r="B231" t="n">
        <x:v>2</x:v>
      </x:c>
      <x:c r="C231" t="n">
        <x:v>145.4424895711132</x:v>
      </x:c>
      <x:c r="D231" t="n">
        <x:v>142.2912828935041</x:v>
      </x:c>
      <x:c r="E231" t="str">
        <x:v>2016Q1</x:v>
      </x:c>
    </x:row>
    <x:row r="232">
      <x:c r="A232" t="n">
        <x:v>2016</x:v>
      </x:c>
      <x:c r="B232" t="n">
        <x:v>3</x:v>
      </x:c>
      <x:c r="C232" t="n">
        <x:v>156.885453668891</x:v>
      </x:c>
      <x:c r="D232" t="n">
        <x:v>157.6368424543432</x:v>
      </x:c>
      <x:c r="E232" t="str">
        <x:v>2016Q1</x:v>
      </x:c>
    </x:row>
    <x:row r="233">
      <x:c r="A233" t="n">
        <x:v>2016</x:v>
      </x:c>
      <x:c r="B233" t="n">
        <x:v>4</x:v>
      </x:c>
      <x:c r="C233" t="n">
        <x:v>140.0759000660875</x:v>
      </x:c>
      <x:c r="D233" t="n">
        <x:v>141.7469282356072</x:v>
      </x:c>
      <x:c r="E233" t="str">
        <x:v>2016Q2</x:v>
      </x:c>
    </x:row>
    <x:row r="234">
      <x:c r="A234" t="n">
        <x:v>2016</x:v>
      </x:c>
      <x:c r="B234" t="n">
        <x:v>5</x:v>
      </x:c>
      <x:c r="C234" t="n">
        <x:v>123.4935456801065</x:v>
      </x:c>
      <x:c r="D234" t="n">
        <x:v>119.3526124253223</x:v>
      </x:c>
      <x:c r="E234" t="str">
        <x:v>2016Q2</x:v>
      </x:c>
    </x:row>
    <x:row r="235">
      <x:c r="A235" t="n">
        <x:v>2016</x:v>
      </x:c>
      <x:c r="B235" t="n">
        <x:v>6</x:v>
      </x:c>
      <x:c r="C235" t="n">
        <x:v>227.9623617785582</x:v>
      </x:c>
      <x:c r="D235" t="n">
        <x:v>216.1900977163727</x:v>
      </x:c>
      <x:c r="E235" t="str">
        <x:v>2016Q2</x:v>
      </x:c>
    </x:row>
    <x:row r="236">
      <x:c r="A236" t="n">
        <x:v>2016</x:v>
      </x:c>
      <x:c r="B236" t="n">
        <x:v>7</x:v>
      </x:c>
      <x:c r="C236" t="n">
        <x:v>202.2074764846067</x:v>
      </x:c>
      <x:c r="D236" t="n">
        <x:v>184.9271502956343</x:v>
      </x:c>
      <x:c r="E236" t="str">
        <x:v>2016Q3</x:v>
      </x:c>
    </x:row>
    <x:row r="237">
      <x:c r="A237" t="n">
        <x:v>2016</x:v>
      </x:c>
      <x:c r="B237" t="n">
        <x:v>8</x:v>
      </x:c>
      <x:c r="C237" t="n">
        <x:v>132.512604601802</x:v>
      </x:c>
      <x:c r="D237" t="n">
        <x:v>132.6255716125313</x:v>
      </x:c>
      <x:c r="E237" t="str">
        <x:v>2016Q3</x:v>
      </x:c>
    </x:row>
    <x:row r="238">
      <x:c r="A238" t="n">
        <x:v>2016</x:v>
      </x:c>
      <x:c r="B238" t="n">
        <x:v>9</x:v>
      </x:c>
      <x:c r="C238" t="n">
        <x:v>134.3582244697192</x:v>
      </x:c>
      <x:c r="D238" t="n">
        <x:v>135.8537934786782</x:v>
      </x:c>
      <x:c r="E238" t="str">
        <x:v>2016Q3</x:v>
      </x:c>
    </x:row>
    <x:row r="239">
      <x:c r="A239" t="n">
        <x:v>2016</x:v>
      </x:c>
      <x:c r="B239" t="n">
        <x:v>10</x:v>
      </x:c>
      <x:c r="C239" t="n">
        <x:v>125.0091959260972</x:v>
      </x:c>
      <x:c r="D239" t="n">
        <x:v>119.8952222858919</x:v>
      </x:c>
      <x:c r="E239" t="str">
        <x:v>2016Q4</x:v>
      </x:c>
    </x:row>
    <x:row r="240">
      <x:c r="A240" t="n">
        <x:v>2016</x:v>
      </x:c>
      <x:c r="B240" t="n">
        <x:v>11</x:v>
      </x:c>
      <x:c r="C240" t="n">
        <x:v>226.2166927615936</x:v>
      </x:c>
      <x:c r="D240" t="n">
        <x:v>210.8017079395428</x:v>
      </x:c>
      <x:c r="E240" t="str">
        <x:v>2016Q4</x:v>
      </x:c>
    </x:row>
    <x:row r="241">
      <x:c r="A241" t="n">
        <x:v>2016</x:v>
      </x:c>
      <x:c r="B241" t="n">
        <x:v>12</x:v>
      </x:c>
      <x:c r="C241" t="n">
        <x:v>183.8942606919713</x:v>
      </x:c>
      <x:c r="D241" t="n">
        <x:v>184.145896721857</x:v>
      </x:c>
      <x:c r="E241" t="str">
        <x:v>2016Q4</x:v>
      </x:c>
    </x:row>
    <x:row r="242">
      <x:c r="A242" t="n">
        <x:v>2017</x:v>
      </x:c>
      <x:c r="B242" t="n">
        <x:v>1</x:v>
      </x:c>
      <x:c r="C242" t="n">
        <x:v>246.671374475504</x:v>
      </x:c>
      <x:c r="D242" t="n">
        <x:v>252.4048188885142</x:v>
      </x:c>
      <x:c r="E242" t="str">
        <x:v>2017Q1</x:v>
      </x:c>
    </x:row>
    <x:row r="243">
      <x:c r="A243" t="n">
        <x:v>2017</x:v>
      </x:c>
      <x:c r="B243" t="n">
        <x:v>2</x:v>
      </x:c>
      <x:c r="C243" t="n">
        <x:v>184.9553738581306</x:v>
      </x:c>
      <x:c r="D243" t="n">
        <x:v>187.119925262419</x:v>
      </x:c>
      <x:c r="E243" t="str">
        <x:v>2017Q1</x:v>
      </x:c>
    </x:row>
    <x:row r="244">
      <x:c r="A244" t="n">
        <x:v>2017</x:v>
      </x:c>
      <x:c r="B244" t="n">
        <x:v>3</x:v>
      </x:c>
      <x:c r="C244" t="n">
        <x:v>233.1182367334897</x:v>
      </x:c>
      <x:c r="D244" t="n">
        <x:v>243.5082071387843</x:v>
      </x:c>
      <x:c r="E244" t="str">
        <x:v>2017Q1</x:v>
      </x:c>
    </x:row>
    <x:row r="245">
      <x:c r="A245" t="n">
        <x:v>2017</x:v>
      </x:c>
      <x:c r="B245" t="n">
        <x:v>4</x:v>
      </x:c>
      <x:c r="C245" t="n">
        <x:v>174.1963249234804</x:v>
      </x:c>
      <x:c r="D245" t="n">
        <x:v>172.9168273937617</x:v>
      </x:c>
      <x:c r="E245" t="str">
        <x:v>2017Q2</x:v>
      </x:c>
    </x:row>
    <x:row r="246">
      <x:c r="A246" t="n">
        <x:v>2017</x:v>
      </x:c>
      <x:c r="B246" t="n">
        <x:v>5</x:v>
      </x:c>
      <x:c r="C246" t="n">
        <x:v>142.4388266211087</x:v>
      </x:c>
      <x:c r="D246" t="n">
        <x:v>139.0616736538333</x:v>
      </x:c>
      <x:c r="E246" t="str">
        <x:v>2017Q2</x:v>
      </x:c>
    </x:row>
    <x:row r="247">
      <x:c r="A247" t="n">
        <x:v>2017</x:v>
      </x:c>
      <x:c r="B247" t="n">
        <x:v>6</x:v>
      </x:c>
      <x:c r="C247" t="n">
        <x:v>169.6566403941028</x:v>
      </x:c>
      <x:c r="D247" t="n">
        <x:v>171.0351552704886</x:v>
      </x:c>
      <x:c r="E247" t="str">
        <x:v>2017Q2</x:v>
      </x:c>
    </x:row>
    <x:row r="248">
      <x:c r="A248" t="n">
        <x:v>2017</x:v>
      </x:c>
      <x:c r="B248" t="n">
        <x:v>7</x:v>
      </x:c>
      <x:c r="C248" t="n">
        <x:v>162.896213856406</x:v>
      </x:c>
      <x:c r="D248" t="n">
        <x:v>167.0730751932223</x:v>
      </x:c>
      <x:c r="E248" t="str">
        <x:v>2017Q3</x:v>
      </x:c>
    </x:row>
    <x:row r="249">
      <x:c r="A249" t="n">
        <x:v>2017</x:v>
      </x:c>
      <x:c r="B249" t="n">
        <x:v>8</x:v>
      </x:c>
      <x:c r="C249" t="n">
        <x:v>139.1232990399446</x:v>
      </x:c>
      <x:c r="D249" t="n">
        <x:v>138.7984639755385</x:v>
      </x:c>
      <x:c r="E249" t="str">
        <x:v>2017Q3</x:v>
      </x:c>
    </x:row>
    <x:row r="250">
      <x:c r="A250" t="n">
        <x:v>2017</x:v>
      </x:c>
      <x:c r="B250" t="n">
        <x:v>9</x:v>
      </x:c>
      <x:c r="C250" t="n">
        <x:v>155.7843169853797</x:v>
      </x:c>
      <x:c r="D250" t="n">
        <x:v>159.0063446610948</x:v>
      </x:c>
      <x:c r="E250" t="str">
        <x:v>2017Q3</x:v>
      </x:c>
    </x:row>
    <x:row r="251">
      <x:c r="A251" t="n">
        <x:v>2017</x:v>
      </x:c>
      <x:c r="B251" t="n">
        <x:v>10</x:v>
      </x:c>
      <x:c r="C251" t="n">
        <x:v>143.384646447816</x:v>
      </x:c>
      <x:c r="D251" t="n">
        <x:v>147.0421004635951</x:v>
      </x:c>
      <x:c r="E251" t="str">
        <x:v>2017Q4</x:v>
      </x:c>
    </x:row>
    <x:row r="252">
      <x:c r="A252" t="n">
        <x:v>2017</x:v>
      </x:c>
      <x:c r="B252" t="n">
        <x:v>11</x:v>
      </x:c>
      <x:c r="C252" t="n">
        <x:v>158.3864504322491</x:v>
      </x:c>
      <x:c r="D252" t="n">
        <x:v>164.0511836920384</x:v>
      </x:c>
      <x:c r="E252" t="str">
        <x:v>2017Q4</x:v>
      </x:c>
    </x:row>
    <x:row r="253">
      <x:c r="A253" t="n">
        <x:v>2017</x:v>
      </x:c>
      <x:c r="B253" t="n">
        <x:v>12</x:v>
      </x:c>
      <x:c r="C253" t="n">
        <x:v>146.2795275271179</x:v>
      </x:c>
      <x:c r="D253" t="n">
        <x:v>151.4686912610622</x:v>
      </x:c>
      <x:c r="E253" t="str">
        <x:v>2017Q4</x:v>
      </x:c>
    </x:row>
    <x:row r="254">
      <x:c r="A254" t="n">
        <x:v>2018</x:v>
      </x:c>
      <x:c r="B254" t="n">
        <x:v>1</x:v>
      </x:c>
      <x:c r="C254" t="n">
        <x:v>175.1911479429767</x:v>
      </x:c>
      <x:c r="D254" t="n">
        <x:v>174.9843025992048</x:v>
      </x:c>
      <x:c r="E254" t="str">
        <x:v>2018Q1</x:v>
      </x:c>
    </x:row>
    <x:row r="255">
      <x:c r="A255" t="n">
        <x:v>2018</x:v>
      </x:c>
      <x:c r="B255" t="n">
        <x:v>2</x:v>
      </x:c>
      <x:c r="C255" t="n">
        <x:v>124.9334885684971</x:v>
      </x:c>
      <x:c r="D255" t="n">
        <x:v>127.8619314154411</x:v>
      </x:c>
      <x:c r="E255" t="str">
        <x:v>2018Q1</x:v>
      </x:c>
    </x:row>
    <x:row r="256">
      <x:c r="A256" t="n">
        <x:v>2018</x:v>
      </x:c>
      <x:c r="B256" t="n">
        <x:v>3</x:v>
      </x:c>
      <x:c r="C256" t="n">
        <x:v>179.3731866077195</x:v>
      </x:c>
      <x:c r="D256" t="n">
        <x:v>176.1586290721646</x:v>
      </x:c>
      <x:c r="E256" t="str">
        <x:v>2018Q1</x:v>
      </x:c>
    </x:row>
    <x:row r="257">
      <x:c r="A257" t="n">
        <x:v>2018</x:v>
      </x:c>
      <x:c r="B257" t="n">
        <x:v>4</x:v>
      </x:c>
      <x:c r="C257" t="n">
        <x:v>163.3187758624214</x:v>
      </x:c>
      <x:c r="D257" t="n">
        <x:v>169.3504013230239</x:v>
      </x:c>
      <x:c r="E257" t="str">
        <x:v>2018Q2</x:v>
      </x:c>
    </x:row>
    <x:row r="258">
      <x:c r="A258" t="n">
        <x:v>2018</x:v>
      </x:c>
      <x:c r="B258" t="n">
        <x:v>5</x:v>
      </x:c>
      <x:c r="C258" t="n">
        <x:v>170.228990627392</x:v>
      </x:c>
      <x:c r="D258" t="n">
        <x:v>169.2502277952356</x:v>
      </x:c>
      <x:c r="E258" t="str">
        <x:v>2018Q2</x:v>
      </x:c>
    </x:row>
    <x:row r="259">
      <x:c r="A259" t="n">
        <x:v>2018</x:v>
      </x:c>
      <x:c r="B259" t="n">
        <x:v>6</x:v>
      </x:c>
      <x:c r="C259" t="n">
        <x:v>163.2896137167639</x:v>
      </x:c>
      <x:c r="D259" t="n">
        <x:v>160.1557770676899</x:v>
      </x:c>
      <x:c r="E259" t="str">
        <x:v>2018Q2</x:v>
      </x:c>
    </x:row>
    <x:row r="260">
      <x:c r="A260" t="n">
        <x:v>2018</x:v>
      </x:c>
      <x:c r="B260" t="n">
        <x:v>7</x:v>
      </x:c>
      <x:c r="C260" t="n">
        <x:v>225.1013866120937</x:v>
      </x:c>
      <x:c r="D260" t="n">
        <x:v>231.5286078907811</x:v>
      </x:c>
      <x:c r="E260" t="str">
        <x:v>2018Q3</x:v>
      </x:c>
    </x:row>
    <x:row r="261">
      <x:c r="A261" t="n">
        <x:v>2018</x:v>
      </x:c>
      <x:c r="B261" t="n">
        <x:v>8</x:v>
      </x:c>
      <x:c r="C261" t="n">
        <x:v>170.6249625325949</x:v>
      </x:c>
      <x:c r="D261" t="n">
        <x:v>178.3823998354606</x:v>
      </x:c>
      <x:c r="E261" t="str">
        <x:v>2018Q3</x:v>
      </x:c>
    </x:row>
    <x:row r="262">
      <x:c r="A262" t="n">
        <x:v>2018</x:v>
      </x:c>
      <x:c r="B262" t="n">
        <x:v>9</x:v>
      </x:c>
      <x:c r="C262" t="n">
        <x:v>191.3990484394205</x:v>
      </x:c>
      <x:c r="D262" t="n">
        <x:v>200.9232848965092</x:v>
      </x:c>
      <x:c r="E262" t="str">
        <x:v>2018Q3</x:v>
      </x:c>
    </x:row>
    <x:row r="263">
      <x:c r="A263" t="n">
        <x:v>2018</x:v>
      </x:c>
      <x:c r="B263" t="n">
        <x:v>10</x:v>
      </x:c>
      <x:c r="C263" t="n">
        <x:v>211.7260729750332</x:v>
      </x:c>
      <x:c r="D263" t="n">
        <x:v>221.0012379296985</x:v>
      </x:c>
      <x:c r="E263" t="str">
        <x:v>2018Q4</x:v>
      </x:c>
    </x:row>
    <x:row r="264">
      <x:c r="A264" t="n">
        <x:v>2018</x:v>
      </x:c>
      <x:c r="B264" t="n">
        <x:v>11</x:v>
      </x:c>
      <x:c r="C264" t="n">
        <x:v>245.6816472995783</x:v>
      </x:c>
      <x:c r="D264" t="n">
        <x:v>260.2652883197995</x:v>
      </x:c>
      <x:c r="E264" t="str">
        <x:v>2018Q4</x:v>
      </x:c>
    </x:row>
    <x:row r="265">
      <x:c r="A265" t="n">
        <x:v>2018</x:v>
      </x:c>
      <x:c r="B265" t="n">
        <x:v>12</x:v>
      </x:c>
      <x:c r="C265" t="n">
        <x:v>217.748163437163</x:v>
      </x:c>
      <x:c r="D265" t="n">
        <x:v>212.6281888097991</x:v>
      </x:c>
      <x:c r="E265" t="str">
        <x:v>2018Q4</x:v>
      </x:c>
    </x:row>
    <x:row r="266">
      <x:c r="A266" t="n">
        <x:v>2019</x:v>
      </x:c>
      <x:c r="B266" t="n">
        <x:v>1</x:v>
      </x:c>
      <x:c r="C266" t="n">
        <x:v>241.3683945862635</x:v>
      </x:c>
      <x:c r="D266" t="n">
        <x:v>238.1569339197361</x:v>
      </x:c>
      <x:c r="E266" t="str">
        <x:v>2019Q1</x:v>
      </x:c>
    </x:row>
    <x:row r="267">
      <x:c r="A267" t="n">
        <x:v>2019</x:v>
      </x:c>
      <x:c r="B267" t="n">
        <x:v>2</x:v>
      </x:c>
      <x:c r="C267" t="n">
        <x:v>172.5350559893052</x:v>
      </x:c>
      <x:c r="D267" t="n">
        <x:v>175.1118052398795</x:v>
      </x:c>
      <x:c r="E267" t="str">
        <x:v>2019Q1</x:v>
      </x:c>
    </x:row>
    <x:row r="268">
      <x:c r="A268" t="n">
        <x:v>2019</x:v>
      </x:c>
      <x:c r="B268" t="n">
        <x:v>3</x:v>
      </x:c>
      <x:c r="C268" t="n">
        <x:v>238.2293656351633</x:v>
      </x:c>
      <x:c r="D268" t="n">
        <x:v>245.9982469271646</x:v>
      </x:c>
      <x:c r="E268" t="str">
        <x:v>2019Q1</x:v>
      </x:c>
    </x:row>
    <x:row r="269">
      <x:c r="A269" t="n">
        <x:v>2019</x:v>
      </x:c>
      <x:c r="B269" t="n">
        <x:v>4</x:v>
      </x:c>
      <x:c r="C269" t="n">
        <x:v>188.7970852291176</x:v>
      </x:c>
      <x:c r="D269" t="n">
        <x:v>199.9475475135329</x:v>
      </x:c>
      <x:c r="E269" t="str">
        <x:v>2019Q2</x:v>
      </x:c>
    </x:row>
    <x:row r="270">
      <x:c r="A270" t="n">
        <x:v>2019</x:v>
      </x:c>
      <x:c r="B270" t="n">
        <x:v>5</x:v>
      </x:c>
      <x:c r="C270" t="n">
        <x:v>220.9065123676254</x:v>
      </x:c>
      <x:c r="D270" t="n">
        <x:v>232.476135657579</x:v>
      </x:c>
      <x:c r="E270" t="str">
        <x:v>2019Q2</x:v>
      </x:c>
    </x:row>
    <x:row r="271">
      <x:c r="A271" t="n">
        <x:v>2019</x:v>
      </x:c>
      <x:c r="B271" t="n">
        <x:v>6</x:v>
      </x:c>
      <x:c r="C271" t="n">
        <x:v>317.3008267246395</x:v>
      </x:c>
      <x:c r="D271" t="n">
        <x:v>340.7507261715987</x:v>
      </x:c>
      <x:c r="E271" t="str">
        <x:v>2019Q2</x:v>
      </x:c>
    </x:row>
    <x:row r="272">
      <x:c r="A272" t="n">
        <x:v>2019</x:v>
      </x:c>
      <x:c r="B272" t="n">
        <x:v>7</x:v>
      </x:c>
      <x:c r="C272" t="n">
        <x:v>247.1297522267097</x:v>
      </x:c>
      <x:c r="D272" t="n">
        <x:v>253.9966097079192</x:v>
      </x:c>
      <x:c r="E272" t="str">
        <x:v>2019Q3</x:v>
      </x:c>
    </x:row>
    <x:row r="273">
      <x:c r="A273" t="n">
        <x:v>2019</x:v>
      </x:c>
      <x:c r="B273" t="n">
        <x:v>8</x:v>
      </x:c>
      <x:c r="C273" t="n">
        <x:v>288.1601548135089</x:v>
      </x:c>
      <x:c r="D273" t="n">
        <x:v>286.3986722710491</x:v>
      </x:c>
      <x:c r="E273" t="str">
        <x:v>2019Q3</x:v>
      </x:c>
    </x:row>
    <x:row r="274">
      <x:c r="A274" t="n">
        <x:v>2019</x:v>
      </x:c>
      <x:c r="B274" t="n">
        <x:v>9</x:v>
      </x:c>
      <x:c r="C274" t="n">
        <x:v>235.6348017862331</x:v>
      </x:c>
      <x:c r="D274" t="n">
        <x:v>246.2569717074703</x:v>
      </x:c>
      <x:c r="E274" t="str">
        <x:v>2019Q3</x:v>
      </x:c>
    </x:row>
    <x:row r="275">
      <x:c r="A275" t="n">
        <x:v>2019</x:v>
      </x:c>
      <x:c r="B275" t="n">
        <x:v>10</x:v>
      </x:c>
      <x:c r="C275" t="n">
        <x:v>200.8072681211898</x:v>
      </x:c>
      <x:c r="D275" t="n">
        <x:v>205.9572830029539</x:v>
      </x:c>
      <x:c r="E275" t="str">
        <x:v>2019Q4</x:v>
      </x:c>
    </x:row>
    <x:row r="276">
      <x:c r="A276" t="n">
        <x:v>2019</x:v>
      </x:c>
      <x:c r="B276" t="n">
        <x:v>11</x:v>
      </x:c>
      <x:c r="C276" t="n">
        <x:v>240.6304700903887</x:v>
      </x:c>
      <x:c r="D276" t="n">
        <x:v>253.9028286136821</x:v>
      </x:c>
      <x:c r="E276" t="str">
        <x:v>2019Q4</x:v>
      </x:c>
    </x:row>
    <x:row r="277">
      <x:c r="A277" t="n">
        <x:v>2019</x:v>
      </x:c>
      <x:c r="B277" t="n">
        <x:v>12</x:v>
      </x:c>
      <x:c r="C277" t="n">
        <x:v>230.8328499877258</x:v>
      </x:c>
      <x:c r="D277" t="n">
        <x:v>241.2791756496016</x:v>
      </x:c>
      <x:c r="E277" t="str">
        <x:v>2019Q4</x:v>
      </x:c>
    </x:row>
    <x:row r="278">
      <x:c r="A278" t="n">
        <x:v>2020</x:v>
      </x:c>
      <x:c r="B278" t="n">
        <x:v>1</x:v>
      </x:c>
      <x:c r="C278" t="n">
        <x:v>190.5108895399397</x:v>
      </x:c>
      <x:c r="D278" t="n">
        <x:v>196.0655541541909</x:v>
      </x:c>
      <x:c r="E278" t="str">
        <x:v>2020Q1</x:v>
      </x:c>
    </x:row>
    <x:row r="279">
      <x:c r="A279" t="n">
        <x:v>2020</x:v>
      </x:c>
      <x:c r="B279" t="n">
        <x:v>2</x:v>
      </x:c>
      <x:c r="C279" t="n">
        <x:v>194.9254489228282</x:v>
      </x:c>
      <x:c r="D279" t="n">
        <x:v>194.1418589187357</x:v>
      </x:c>
      <x:c r="E279" t="str">
        <x:v>2020Q1</x:v>
      </x:c>
    </x:row>
    <x:row r="280">
      <x:c r="A280" t="n">
        <x:v>2020</x:v>
      </x:c>
      <x:c r="B280" t="n">
        <x:v>3</x:v>
      </x:c>
      <x:c r="C280" t="n">
        <x:v>315.0241031862628</x:v>
      </x:c>
      <x:c r="D280" t="n">
        <x:v>306.0946277914372</x:v>
      </x:c>
      <x:c r="E280" t="str">
        <x:v>2020Q1</x:v>
      </x:c>
    </x:row>
    <x:row r="281">
      <x:c r="A281" t="n">
        <x:v>2020</x:v>
      </x:c>
      <x:c r="B281" t="n">
        <x:v>4</x:v>
      </x:c>
      <x:c r="C281" t="n">
        <x:v>325.3292898060018</x:v>
      </x:c>
      <x:c r="D281" t="n">
        <x:v>328.626206413861</x:v>
      </x:c>
      <x:c r="E281" t="str">
        <x:v>2020Q2</x:v>
      </x:c>
    </x:row>
    <x:row r="282">
      <x:c r="A282" t="n">
        <x:v>2020</x:v>
      </x:c>
      <x:c r="B282" t="n">
        <x:v>5</x:v>
      </x:c>
      <x:c r="C282" t="n">
        <x:v>410.4991131648366</x:v>
      </x:c>
      <x:c r="D282" t="n">
        <x:v>412.2633321836191</x:v>
      </x:c>
      <x:c r="E282" t="str">
        <x:v>2020Q2</x:v>
      </x:c>
    </x:row>
    <x:row r="283">
      <x:c r="A283" t="n">
        <x:v>2020</x:v>
      </x:c>
      <x:c r="B283" t="n">
        <x:v>6</x:v>
      </x:c>
      <x:c r="C283" t="n">
        <x:v>306.5279256278747</x:v>
      </x:c>
      <x:c r="D283" t="n">
        <x:v>317.458162219366</x:v>
      </x:c>
      <x:c r="E283" t="str">
        <x:v>2020Q2</x:v>
      </x:c>
    </x:row>
    <x:row r="284">
      <x:c r="A284" t="n">
        <x:v>2020</x:v>
      </x:c>
      <x:c r="B284" t="n">
        <x:v>7</x:v>
      </x:c>
      <x:c r="C284" t="n">
        <x:v>309.069540681966</x:v>
      </x:c>
      <x:c r="D284" t="n">
        <x:v>298.9663669668041</x:v>
      </x:c>
      <x:c r="E284" t="str">
        <x:v>2020Q3</x:v>
      </x:c>
    </x:row>
    <x:row r="285">
      <x:c r="A285" t="n">
        <x:v>2020</x:v>
      </x:c>
      <x:c r="B285" t="n">
        <x:v>8</x:v>
      </x:c>
      <x:c r="C285" t="n">
        <x:v>286.012788816036</x:v>
      </x:c>
      <x:c r="D285" t="n">
        <x:v>295.1900660804937</x:v>
      </x:c>
      <x:c r="E285" t="str">
        <x:v>2020Q3</x:v>
      </x:c>
    </x:row>
    <x:row r="286">
      <x:c r="A286" t="n">
        <x:v>2020</x:v>
      </x:c>
      <x:c r="B286" t="n">
        <x:v>9</x:v>
      </x:c>
      <x:c r="C286" t="n">
        <x:v>305.6877124590549</x:v>
      </x:c>
      <x:c r="D286" t="n">
        <x:v>318.5022388229556</x:v>
      </x:c>
      <x:c r="E286" t="str">
        <x:v>2020Q3</x:v>
      </x:c>
    </x:row>
    <x:row r="287">
      <x:c r="A287" t="n">
        <x:v>2020</x:v>
      </x:c>
      <x:c r="B287" t="n">
        <x:v>10</x:v>
      </x:c>
      <x:c r="C287" t="n">
        <x:v>302.8410912420222</x:v>
      </x:c>
      <x:c r="D287" t="n">
        <x:v>304.7843979486651</x:v>
      </x:c>
      <x:c r="E287" t="str">
        <x:v>2020Q4</x:v>
      </x:c>
    </x:row>
    <x:row r="288">
      <x:c r="A288" t="n">
        <x:v>2020</x:v>
      </x:c>
      <x:c r="B288" t="n">
        <x:v>11</x:v>
      </x:c>
      <x:c r="C288" t="n">
        <x:v>392.2621177141229</x:v>
      </x:c>
      <x:c r="D288" t="n">
        <x:v>408.3055730612527</x:v>
      </x:c>
      <x:c r="E288" t="str">
        <x:v>2020Q4</x:v>
      </x:c>
    </x:row>
    <x:row r="289">
      <x:c r="A289" t="n">
        <x:v>2020</x:v>
      </x:c>
      <x:c r="B289" t="n">
        <x:v>12</x:v>
      </x:c>
      <x:c r="C289" t="n">
        <x:v>298.9421202023765</x:v>
      </x:c>
      <x:c r="D289" t="n">
        <x:v>305.7005890758923</x:v>
      </x:c>
      <x:c r="E289" t="str">
        <x:v>2020Q4</x:v>
      </x:c>
    </x:row>
    <x:row r="290">
      <x:c r="A290" t="n">
        <x:v>2021</x:v>
      </x:c>
      <x:c r="B290" t="n">
        <x:v>1</x:v>
      </x:c>
      <x:c r="C290" t="n">
        <x:v>269.4093055126647</x:v>
      </x:c>
      <x:c r="D290" t="n">
        <x:v>277.3789606504059</x:v>
      </x:c>
      <x:c r="E290" t="str">
        <x:v>2021Q1</x:v>
      </x:c>
    </x:row>
    <x:row r="291">
      <x:c r="A291" t="n">
        <x:v>2021</x:v>
      </x:c>
      <x:c r="B291" t="n">
        <x:v>2</x:v>
      </x:c>
      <x:c r="C291" t="n">
        <x:v>193.0010797683771</x:v>
      </x:c>
      <x:c r="D291" t="n">
        <x:v>196.8751273495839</x:v>
      </x:c>
      <x:c r="E291" t="str">
        <x:v>2021Q1</x:v>
      </x:c>
    </x:row>
    <x:row r="292">
      <x:c r="A292" t="n">
        <x:v>2021</x:v>
      </x:c>
      <x:c r="B292" t="n">
        <x:v>3</x:v>
      </x:c>
      <x:c r="C292" t="n">
        <x:v>210.0523170675452</x:v>
      </x:c>
      <x:c r="D292" t="n">
        <x:v>216.7389733392292</x:v>
      </x:c>
      <x:c r="E292" t="str">
        <x:v>2021Q1</x:v>
      </x:c>
    </x:row>
    <x:row r="293">
      <x:c r="A293" t="n">
        <x:v>2021</x:v>
      </x:c>
      <x:c r="B293" t="n">
        <x:v>4</x:v>
      </x:c>
      <x:c r="C293" t="n">
        <x:v>192.0857225447632</x:v>
      </x:c>
      <x:c r="D293" t="n">
        <x:v>200.9509330203931</x:v>
      </x:c>
      <x:c r="E293" t="str">
        <x:v>2021Q2</x:v>
      </x:c>
    </x:row>
    <x:row r="294">
      <x:c r="A294" t="n">
        <x:v>2021</x:v>
      </x:c>
      <x:c r="B294" t="n">
        <x:v>5</x:v>
      </x:c>
      <x:c r="C294" t="n">
        <x:v>171.9418584556911</x:v>
      </x:c>
      <x:c r="D294" t="n">
        <x:v>176.7745600815711</x:v>
      </x:c>
      <x:c r="E294" t="str">
        <x:v>2021Q2</x:v>
      </x:c>
    </x:row>
    <x:row r="295">
      <x:c r="A295" t="n">
        <x:v>2021</x:v>
      </x:c>
      <x:c r="B295" t="n">
        <x:v>6</x:v>
      </x:c>
      <x:c r="C295" t="n">
        <x:v>169.204550195314</x:v>
      </x:c>
      <x:c r="D295" t="n">
        <x:v>178.4462316165855</x:v>
      </x:c>
      <x:c r="E295" t="str">
        <x:v>2021Q2</x:v>
      </x:c>
    </x:row>
    <x:row r="296">
      <x:c r="A296" t="n">
        <x:v>2021</x:v>
      </x:c>
      <x:c r="B296" t="n">
        <x:v>7</x:v>
      </x:c>
      <x:c r="C296" t="n">
        <x:v>187.2361273456867</x:v>
      </x:c>
      <x:c r="D296" t="n">
        <x:v>185.7838587931415</x:v>
      </x:c>
      <x:c r="E296" t="str">
        <x:v>2021Q3</x:v>
      </x:c>
    </x:row>
    <x:row r="297">
      <x:c r="A297" t="n">
        <x:v>2021</x:v>
      </x:c>
      <x:c r="B297" t="n">
        <x:v>8</x:v>
      </x:c>
      <x:c r="C297" t="n">
        <x:v>198.8755712479253</x:v>
      </x:c>
      <x:c r="D297" t="n">
        <x:v>203.164907493904</x:v>
      </x:c>
      <x:c r="E297" t="str">
        <x:v>2021Q3</x:v>
      </x:c>
    </x:row>
    <x:row r="298">
      <x:c r="A298" t="n">
        <x:v>2021</x:v>
      </x:c>
      <x:c r="B298" t="n">
        <x:v>9</x:v>
      </x:c>
      <x:c r="C298" t="n">
        <x:v>209.316452710619</x:v>
      </x:c>
      <x:c r="D298" t="n">
        <x:v>214.4950804347878</x:v>
      </x:c>
      <x:c r="E298" t="str">
        <x:v>2021Q3</x:v>
      </x:c>
    </x:row>
    <x:row r="299">
      <x:c r="A299" t="n">
        <x:v>2021</x:v>
      </x:c>
      <x:c r="B299" t="n">
        <x:v>10</x:v>
      </x:c>
      <x:c r="C299" t="n">
        <x:v>185.6166866638104</x:v>
      </x:c>
      <x:c r="D299" t="n">
        <x:v>190.5777033118494</x:v>
      </x:c>
      <x:c r="E299" t="str">
        <x:v>2021Q4</x:v>
      </x:c>
    </x:row>
    <x:row r="300">
      <x:c r="A300" t="n">
        <x:v>2021</x:v>
      </x:c>
      <x:c r="B300" t="n">
        <x:v>11</x:v>
      </x:c>
      <x:c r="C300" t="n">
        <x:v>227.1509384601621</x:v>
      </x:c>
      <x:c r="D300" t="n">
        <x:v>228.1256439534578</x:v>
      </x:c>
      <x:c r="E300" t="str">
        <x:v>2021Q4</x:v>
      </x:c>
    </x:row>
    <x:row r="301">
      <x:c r="A301" t="n">
        <x:v>2021</x:v>
      </x:c>
      <x:c r="B301" t="n">
        <x:v>12</x:v>
      </x:c>
      <x:c r="C301" t="n">
        <x:v>255.1176524206504</x:v>
      </x:c>
      <x:c r="D301" t="n">
        <x:v>259.6712633038655</x:v>
      </x:c>
      <x:c r="E301" t="str">
        <x:v>2021Q4</x:v>
      </x:c>
    </x:row>
    <x:row r="302">
      <x:c r="A302" t="n">
        <x:v>2022</x:v>
      </x:c>
      <x:c r="B302" t="n">
        <x:v>1</x:v>
      </x:c>
      <x:c r="C302" t="n">
        <x:v>219.4461014359251</x:v>
      </x:c>
      <x:c r="D302" t="n">
        <x:v>227.1494153362959</x:v>
      </x:c>
      <x:c r="E302" t="str">
        <x:v>2022Q1</x:v>
      </x:c>
    </x:row>
    <x:row r="303">
      <x:c r="A303" t="n">
        <x:v>2022</x:v>
      </x:c>
      <x:c r="B303" t="n">
        <x:v>2</x:v>
      </x:c>
      <x:c r="C303" t="n">
        <x:v>174.4912748810745</x:v>
      </x:c>
      <x:c r="D303" t="n">
        <x:v>186.120661876726</x:v>
      </x:c>
      <x:c r="E303" t="str">
        <x:v>2022Q1</x:v>
      </x:c>
    </x:row>
    <x:row r="304">
      <x:c r="A304" t="n">
        <x:v>2022</x:v>
      </x:c>
      <x:c r="B304" t="n">
        <x:v>3</x:v>
      </x:c>
      <x:c r="C304" t="n">
        <x:v>294.549307146501</x:v>
      </x:c>
      <x:c r="D304" t="n">
        <x:v>298.2103545219182</x:v>
      </x:c>
      <x:c r="E304" t="str">
        <x:v>2022Q1</x:v>
      </x:c>
    </x:row>
    <x:row r="305">
      <x:c r="A305" t="n">
        <x:v>2022</x:v>
      </x:c>
      <x:c r="B305" t="n">
        <x:v>4</x:v>
      </x:c>
      <x:c r="C305" t="n">
        <x:v>266.7292056070433</x:v>
      </x:c>
      <x:c r="D305" t="n">
        <x:v>286.0487397662052</x:v>
      </x:c>
      <x:c r="E305" t="str">
        <x:v>2022Q2</x:v>
      </x:c>
    </x:row>
    <x:row r="306">
      <x:c r="A306" t="n">
        <x:v>2022</x:v>
      </x:c>
      <x:c r="B306" t="n">
        <x:v>5</x:v>
      </x:c>
      <x:c r="C306" t="n">
        <x:v>272.0766368041027</x:v>
      </x:c>
      <x:c r="D306" t="n">
        <x:v>282.1409467791809</x:v>
      </x:c>
      <x:c r="E306" t="str">
        <x:v>2022Q2</x:v>
      </x:c>
    </x:row>
    <x:row r="307">
      <x:c r="A307" t="n">
        <x:v>2022</x:v>
      </x:c>
      <x:c r="B307" t="n">
        <x:v>6</x:v>
      </x:c>
      <x:c r="C307" t="n">
        <x:v>244.3804256646736</x:v>
      </x:c>
      <x:c r="D307" t="n">
        <x:v>259.4305239349331</x:v>
      </x:c>
      <x:c r="E307" t="str">
        <x:v>2022Q2</x:v>
      </x:c>
    </x:row>
    <x:row r="308">
      <x:c r="A308" t="n">
        <x:v>2022</x:v>
      </x:c>
      <x:c r="B308" t="n">
        <x:v>7</x:v>
      </x:c>
      <x:c r="C308" t="n">
        <x:v>289.0957544188351</x:v>
      </x:c>
      <x:c r="D308" t="n">
        <x:v>297.8185093160875</x:v>
      </x:c>
      <x:c r="E308" t="str">
        <x:v>2022Q3</x:v>
      </x:c>
    </x:row>
    <x:row r="309">
      <x:c r="A309" t="n">
        <x:v>2022</x:v>
      </x:c>
      <x:c r="B309" t="n">
        <x:v>8</x:v>
      </x:c>
      <x:c r="C309" t="n">
        <x:v>233.4607486603733</x:v>
      </x:c>
      <x:c r="D309" t="n">
        <x:v>236.9305988619707</x:v>
      </x:c>
      <x:c r="E309" t="str">
        <x:v>2022Q3</x:v>
      </x:c>
    </x:row>
    <x:row r="310">
      <x:c r="A310" t="n">
        <x:v>2022</x:v>
      </x:c>
      <x:c r="B310" t="n">
        <x:v>9</x:v>
      </x:c>
      <x:c r="C310" t="n">
        <x:v>246.5827619465092</x:v>
      </x:c>
      <x:c r="D310" t="n">
        <x:v>250.8763872048833</x:v>
      </x:c>
      <x:c r="E310" t="str">
        <x:v>2022Q3</x:v>
      </x:c>
    </x:row>
    <x:row r="311">
      <x:c r="A311" t="n">
        <x:v>2022</x:v>
      </x:c>
      <x:c r="B311" t="n">
        <x:v>10</x:v>
      </x:c>
      <x:c r="C311" t="n">
        <x:v>262.0094942610033</x:v>
      </x:c>
      <x:c r="D311" t="n">
        <x:v>264.4580199277571</x:v>
      </x:c>
      <x:c r="E311" t="str">
        <x:v>2022Q4</x:v>
      </x:c>
    </x:row>
    <x:row r="312">
      <x:c r="A312" t="n">
        <x:v>2022</x:v>
      </x:c>
      <x:c r="B312" t="n">
        <x:v>11</x:v>
      </x:c>
      <x:c r="C312" t="n">
        <x:v>306.9710823677368</x:v>
      </x:c>
      <x:c r="D312" t="n">
        <x:v>318.4405482745888</x:v>
      </x:c>
      <x:c r="E312" t="str">
        <x:v>2022Q4</x:v>
      </x:c>
    </x:row>
    <x:row r="313">
      <x:c r="A313" t="n">
        <x:v>2022</x:v>
      </x:c>
      <x:c r="B313" t="n">
        <x:v>12</x:v>
      </x:c>
      <x:c r="C313" t="n">
        <x:v>236.6894037532056</x:v>
      </x:c>
      <x:c r="D313" t="n">
        <x:v>250.2920380872795</x:v>
      </x:c>
      <x:c r="E313" t="str">
        <x:v>2022Q4</x:v>
      </x:c>
    </x:row>
    <x:row r="314">
      <x:c r="A314" t="n">
        <x:v>2023</x:v>
      </x:c>
      <x:c r="B314" t="n">
        <x:v>1</x:v>
      </x:c>
      <x:c r="C314" t="n">
        <x:v>215.8431913288959</x:v>
      </x:c>
      <x:c r="D314" t="n">
        <x:v>224.8058425468969</x:v>
      </x:c>
      <x:c r="E314" t="str">
        <x:v>2023Q1</x:v>
      </x:c>
    </x:row>
    <x:row r="315">
      <x:c r="A315" t="n">
        <x:v>2023</x:v>
      </x:c>
      <x:c r="B315" t="n">
        <x:v>2</x:v>
      </x:c>
      <x:c r="C315" t="n">
        <x:v>238.645802951216</x:v>
      </x:c>
      <x:c r="D315" t="n">
        <x:v>255.836320138039</x:v>
      </x:c>
      <x:c r="E315" t="str">
        <x:v>2023Q1</x:v>
      </x:c>
    </x:row>
    <x:row r="316">
      <x:c r="A316" t="n">
        <x:v>2023</x:v>
      </x:c>
      <x:c r="B316" t="n">
        <x:v>3</x:v>
      </x:c>
      <x:c r="C316" t="n">
        <x:v>309.5977465522528</x:v>
      </x:c>
      <x:c r="D316" t="n">
        <x:v>328.430715361775</x:v>
      </x:c>
      <x:c r="E316" t="str">
        <x:v>2023Q1</x:v>
      </x:c>
    </x:row>
    <x:row r="317">
      <x:c r="A317" t="n">
        <x:v>2023</x:v>
      </x:c>
      <x:c r="B317" t="n">
        <x:v>4</x:v>
      </x:c>
      <x:c r="C317" t="n">
        <x:v>252.6827725769821</x:v>
      </x:c>
      <x:c r="D317" t="n">
        <x:v>278.5201662940306</x:v>
      </x:c>
      <x:c r="E317" t="str">
        <x:v>2023Q2</x:v>
      </x:c>
    </x:row>
    <x:row r="318">
      <x:c r="A318" t="n">
        <x:v>2023</x:v>
      </x:c>
      <x:c r="B318" t="n">
        <x:v>5</x:v>
      </x:c>
      <x:c r="C318" t="n">
        <x:v>208.3970521425657</x:v>
      </x:c>
      <x:c r="D318" t="n">
        <x:v>207.1347744640332</x:v>
      </x:c>
      <x:c r="E318" t="str">
        <x:v>2023Q2</x:v>
      </x:c>
    </x:row>
    <x:row r="319">
      <x:c r="A319" t="n">
        <x:v>2023</x:v>
      </x:c>
      <x:c r="B319" t="n">
        <x:v>6</x:v>
      </x:c>
      <x:c r="C319" t="n">
        <x:v>219.3946072700828</x:v>
      </x:c>
      <x:c r="D319" t="n">
        <x:v>233.8851828745028</x:v>
      </x:c>
      <x:c r="E319" t="str">
        <x:v>2023Q2</x:v>
      </x:c>
    </x:row>
    <x:row r="320">
      <x:c r="A320" t="n">
        <x:v>2023</x:v>
      </x:c>
      <x:c r="B320" t="n">
        <x:v>7</x:v>
      </x:c>
      <x:c r="C320" t="n">
        <x:v>189.5729562861208</x:v>
      </x:c>
      <x:c r="D320" t="n">
        <x:v>198.4118824871652</x:v>
      </x:c>
      <x:c r="E320" t="str">
        <x:v>2023Q3</x:v>
      </x:c>
    </x:row>
    <x:row r="321">
      <x:c r="A321" t="n">
        <x:v>2023</x:v>
      </x:c>
      <x:c r="B321" t="n">
        <x:v>8</x:v>
      </x:c>
      <x:c r="C321" t="n">
        <x:v>172.9686236799421</x:v>
      </x:c>
      <x:c r="D321" t="n">
        <x:v>183.1636024608484</x:v>
      </x:c>
      <x:c r="E321" t="str">
        <x:v>2023Q3</x:v>
      </x:c>
    </x:row>
    <x:row r="322">
      <x:c r="A322" t="n">
        <x:v>2023</x:v>
      </x:c>
      <x:c r="B322" t="n">
        <x:v>9</x:v>
      </x:c>
      <x:c r="C322" t="n">
        <x:v>198.0087148380819</x:v>
      </x:c>
      <x:c r="D322" t="n">
        <x:v>207.7990765142122</x:v>
      </x:c>
      <x:c r="E322" t="str">
        <x:v>2023Q3</x:v>
      </x:c>
    </x:row>
    <x:row r="323">
      <x:c r="A323" t="n">
        <x:v>2023</x:v>
      </x:c>
      <x:c r="B323" t="n">
        <x:v>10</x:v>
      </x:c>
      <x:c r="C323" t="n">
        <x:v>188.2813040745269</x:v>
      </x:c>
      <x:c r="D323" t="n">
        <x:v>196.4452744713921</x:v>
      </x:c>
      <x:c r="E323" t="str">
        <x:v>2023Q4</x:v>
      </x:c>
    </x:row>
    <x:row r="324">
      <x:c r="A324" t="n">
        <x:v>2023</x:v>
      </x:c>
      <x:c r="B324" t="n">
        <x:v>11</x:v>
      </x:c>
      <x:c r="C324" t="n">
        <x:v>205.6337797626443</x:v>
      </x:c>
      <x:c r="D324" t="n">
        <x:v>217.2920894534846</x:v>
      </x:c>
      <x:c r="E324" t="str">
        <x:v>2023Q4</x:v>
      </x:c>
    </x:row>
    <x:row r="325">
      <x:c r="A325" t="n">
        <x:v>2023</x:v>
      </x:c>
      <x:c r="B325" t="n">
        <x:v>12</x:v>
      </x:c>
      <x:c r="C325" t="n">
        <x:v>219.8410951428903</x:v>
      </x:c>
      <x:c r="D325" t="n">
        <x:v>244.6863019391119</x:v>
      </x:c>
      <x:c r="E325" t="str">
        <x:v>2023Q4</x:v>
      </x:c>
    </x:row>
    <x:row r="326">
      <x:c r="A326" t="n">
        <x:v>2024</x:v>
      </x:c>
      <x:c r="B326" t="n">
        <x:v>1</x:v>
      </x:c>
      <x:c r="C326" t="n">
        <x:v>236.3050410118459</x:v>
      </x:c>
      <x:c r="D326" t="n">
        <x:v>256.6657807554037</x:v>
      </x:c>
      <x:c r="E326" t="str">
        <x:v>2024Q1</x:v>
      </x:c>
    </x:row>
    <x:row r="327">
      <x:c r="A327" t="n">
        <x:v>2024</x:v>
      </x:c>
      <x:c r="B327" t="n">
        <x:v>2</x:v>
      </x:c>
      <x:c r="C327" t="n">
        <x:v>165.0627596436648</x:v>
      </x:c>
      <x:c r="D327" t="n">
        <x:v>177.9411333230056</x:v>
      </x:c>
      <x:c r="E327" t="str">
        <x:v>2024Q1</x:v>
      </x:c>
    </x:row>
    <x:row r="328">
      <x:c r="A328" t="n">
        <x:v>2024</x:v>
      </x:c>
      <x:c r="B328" t="n">
        <x:v>3</x:v>
      </x:c>
      <x:c r="C328" t="n">
        <x:v>176.2217776782957</x:v>
      </x:c>
      <x:c r="D328" t="n">
        <x:v>183.39017578228</x:v>
      </x:c>
      <x:c r="E328" t="str">
        <x:v>2024Q1</x:v>
      </x:c>
    </x:row>
    <x:row r="329">
      <x:c r="A329" t="n">
        <x:v>2024</x:v>
      </x:c>
      <x:c r="B329" t="n">
        <x:v>4</x:v>
      </x:c>
      <x:c r="C329" t="n">
        <x:v>168.6065823008674</x:v>
      </x:c>
      <x:c r="D329" t="n">
        <x:v>173.697526945029</x:v>
      </x:c>
      <x:c r="E329" t="str">
        <x:v>2024Q2</x:v>
      </x:c>
    </x:row>
    <x:row r="330">
      <x:c r="A330" t="n">
        <x:v>2024</x:v>
      </x:c>
      <x:c r="B330" t="n">
        <x:v>5</x:v>
      </x:c>
      <x:c r="C330" t="n">
        <x:v>180.9289251401781</x:v>
      </x:c>
      <x:c r="D330" t="n">
        <x:v>185.5115388206128</x:v>
      </x:c>
      <x:c r="E330" t="str">
        <x:v>2024Q2</x:v>
      </x:c>
    </x:row>
    <x:row r="331">
      <x:c r="A331" t="n">
        <x:v>2024</x:v>
      </x:c>
      <x:c r="B331" t="n">
        <x:v>6</x:v>
      </x:c>
      <x:c r="C331" t="n">
        <x:v>171.6679948930546</x:v>
      </x:c>
      <x:c r="D331" t="n">
        <x:v>173.4574814890773</x:v>
      </x:c>
      <x:c r="E331" t="str">
        <x:v>2024Q2</x:v>
      </x:c>
    </x:row>
    <x:row r="332">
      <x:c r="A332" t="n">
        <x:v>2024</x:v>
      </x:c>
      <x:c r="B332" t="n">
        <x:v>7</x:v>
      </x:c>
      <x:c r="C332" t="n">
        <x:v>224.1873122274258</x:v>
      </x:c>
      <x:c r="D332" t="n">
        <x:v>237.4917742931215</x:v>
      </x:c>
      <x:c r="E332" t="str">
        <x:v>2024Q3</x:v>
      </x:c>
    </x:row>
    <x:row r="333">
      <x:c r="A333" t="n">
        <x:v>2024</x:v>
      </x:c>
      <x:c r="B333" t="n">
        <x:v>8</x:v>
      </x:c>
      <x:c r="C333" t="n">
        <x:v>189.1592035194477</x:v>
      </x:c>
      <x:c r="D333" t="n">
        <x:v>198.6670484135741</x:v>
      </x:c>
      <x:c r="E333" t="str">
        <x:v>2024Q3</x:v>
      </x:c>
    </x:row>
    <x:row r="334">
      <x:c r="A334" t="n">
        <x:v>2024</x:v>
      </x:c>
      <x:c r="B334" t="n">
        <x:v>9</x:v>
      </x:c>
      <x:c r="C334" t="n">
        <x:v>199.9963320790349</x:v>
      </x:c>
      <x:c r="D334" t="n">
        <x:v>207.4529278015899</x:v>
      </x:c>
      <x:c r="E334" t="str">
        <x:v>2024Q3</x:v>
      </x:c>
    </x:row>
    <x:row r="335">
      <x:c r="A335" t="n">
        <x:v>2024</x:v>
      </x:c>
      <x:c r="B335" t="n">
        <x:v>10</x:v>
      </x:c>
      <x:c r="C335" t="n">
        <x:v>202.388779669657</x:v>
      </x:c>
      <x:c r="D335" t="n">
        <x:v>210.1102801252523</x:v>
      </x:c>
      <x:c r="E335" t="str">
        <x:v>2024Q4</x:v>
      </x:c>
    </x:row>
    <x:row r="336">
      <x:c r="A336" t="n">
        <x:v>2024</x:v>
      </x:c>
      <x:c r="B336" t="n">
        <x:v>11</x:v>
      </x:c>
      <x:c r="C336" t="n">
        <x:v>279.0426805237499</x:v>
      </x:c>
      <x:c r="D336" t="n">
        <x:v>275.8433900651909</x:v>
      </x:c>
      <x:c r="E336" t="str">
        <x:v>2024Q4</x:v>
      </x:c>
    </x:row>
    <x:row r="337">
      <x:c r="A337" t="n">
        <x:v>2024</x:v>
      </x:c>
      <x:c r="B337" t="n">
        <x:v>12</x:v>
      </x:c>
      <x:c r="C337" t="n">
        <x:v>322.9773972361512</x:v>
      </x:c>
      <x:c r="D337" t="n">
        <x:v>327.8892240572021</x:v>
      </x:c>
      <x:c r="E337" t="str">
        <x:v>2024Q4</x:v>
      </x:c>
    </x:row>
    <x:row r="338">
      <x:c r="A338" t="n">
        <x:v>2025</x:v>
      </x:c>
      <x:c r="B338" t="n">
        <x:v>1</x:v>
      </x:c>
      <x:c r="C338" t="n">
        <x:v>306.562831668141</x:v>
      </x:c>
      <x:c r="D338" t="n">
        <x:v>304.3881421955219</x:v>
      </x:c>
      <x:c r="E338" t="str">
        <x:v>2025Q1</x:v>
      </x:c>
    </x:row>
    <x:row r="339">
      <x:c r="A339" t="n">
        <x:v>2025</x:v>
      </x:c>
      <x:c r="B339" t="n">
        <x:v>2</x:v>
      </x:c>
      <x:c r="C339" t="n">
        <x:v>328.7735912157621</x:v>
      </x:c>
      <x:c r="D339" t="n">
        <x:v>320.0193872564907</x:v>
      </x:c>
      <x:c r="E339" t="str">
        <x:v>2025Q1</x:v>
      </x:c>
    </x:row>
    <x:row r="340">
      <x:c r="A340" t="n">
        <x:v>2025</x:v>
      </x:c>
      <x:c r="B340" t="n">
        <x:v>3</x:v>
      </x:c>
      <x:c r="C340" t="n">
        <x:v>469.3794115840456</x:v>
      </x:c>
      <x:c r="D340" t="n">
        <x:v>456.9830369663198</x:v>
      </x:c>
      <x:c r="E340" t="str">
        <x:v>2025Q1</x:v>
      </x:c>
    </x:row>
    <x:row r="341">
      <x:c r="A341" t="n">
        <x:v>2025</x:v>
      </x:c>
      <x:c r="B341" t="n">
        <x:v>4</x:v>
      </x:c>
      <x:c r="C341" t="n">
        <x:v>620.8833819301921</x:v>
      </x:c>
      <x:c r="D341" t="n">
        <x:v>575.2545348383933</x:v>
      </x:c>
      <x:c r="E341" t="str">
        <x:v>2025Q2</x:v>
      </x:c>
    </x:row>
    <x:row r="342">
      <x:c r="A342" t="n">
        <x:v>2025</x:v>
      </x:c>
      <x:c r="B342" t="n">
        <x:v>5</x:v>
      </x:c>
      <x:c r="C342" t="n">
        <x:v>505.1684096720606</x:v>
      </x:c>
      <x:c r="D342" t="n">
        <x:v>470.7720590716454</x:v>
      </x:c>
      <x:c r="E342" t="str">
        <x:v>2025Q2</x:v>
      </x:c>
    </x:row>
    <x:row r="343">
      <x:c r="A343" t="n">
        <x:v>2025</x:v>
      </x:c>
      <x:c r="B343" t="n">
        <x:v>6</x:v>
      </x:c>
      <x:c r="C343" t="n">
        <x:v>365.6264776211516</x:v>
      </x:c>
      <x:c r="D343" t="n">
        <x:v>352.8189282285388</x:v>
      </x:c>
      <x:c r="E343" t="str">
        <x:v>2025Q2</x:v>
      </x:c>
    </x:row>
    <x:row r="344">
      <x:c r="A344" t="n">
        <x:v>2025</x:v>
      </x:c>
      <x:c r="B344" t="n">
        <x:v>7</x:v>
      </x:c>
      <x:c r="C344" t="n">
        <x:v>401.5236234164087</x:v>
      </x:c>
      <x:c r="D344" t="n">
        <x:v>382.1215963950264</x:v>
      </x:c>
      <x:c r="E344" t="str">
        <x:v>2025Q3</x:v>
      </x:c>
    </x:row>
    <x:row r="345">
      <x:c r="A345" t="n">
        <x:v>2025</x:v>
      </x:c>
      <x:c r="B345" t="n">
        <x:v>8</x:v>
      </x:c>
      <x:c r="C345" t="n">
        <x:v>338.5069720868458</x:v>
      </x:c>
      <x:c r="D345" t="n">
        <x:v>320.6935411582914</x:v>
      </x:c>
      <x:c r="E345" t="str">
        <x:v>2025Q3</x:v>
      </x:c>
    </x:row>
    <x:row r="346">
      <x:c r="A346" t="n">
        <x:v>2025</x:v>
      </x:c>
      <x:c r="B346" t="n">
        <x:v>9</x:v>
      </x:c>
      <x:c r="C346" t="n">
        <x:v>304.9854012596928</x:v>
      </x:c>
      <x:c r="D346" t="n">
        <x:v>290.6050813967091</x:v>
      </x:c>
      <x:c r="E346" t="str">
        <x:v>2025Q3</x:v>
      </x:c>
    </x:row>
    <x:row r="347">
      <x:c r="A347" t="n">
        <x:v>2025</x:v>
      </x:c>
      <x:c r="B347" t="n">
        <x:v>10</x:v>
      </x:c>
      <x:c r="C347" t="n">
        <x:v>397.5996561082139</x:v>
      </x:c>
      <x:c r="D347" t="n">
        <x:v>410.3934319560861</x:v>
      </x:c>
      <x:c r="E347" t="str">
        <x:v>2025Q4</x:v>
      </x:c>
    </x:row>
    <x:row r="348">
      <x:c r="A348" t="n">
        <x:v>2025</x:v>
      </x:c>
      <x:c r="B348" t="n">
        <x:v>11</x:v>
      </x:c>
      <x:c r="C348" t="n">
        <x:v>364.9750082862698</x:v>
      </x:c>
      <x:c r="D348" t="n">
        <x:v>369.6068410899477</x:v>
      </x:c>
      <x:c r="E348" t="str">
        <x:v>2025Q4</x:v>
      </x:c>
    </x:row>
    <x:row r="349">
      <x:c r="A349" t="n">
        <x:v>2025</x:v>
      </x:c>
      <x:c r="B349" t="n">
        <x:v>12</x:v>
      </x:c>
      <x:c r="C349" t="n">
        <x:v>332.4252251765477</x:v>
      </x:c>
      <x:c r="D349" t="n">
        <x:v>346.4858779708719</x:v>
      </x:c>
      <x:c r="E349" t="str">
        <x:v>2025Q4</x:v>
      </x:c>
    </x:row>
    <x:row r="350">
      <x:c r="A350" t="n">
        <x:v>2026</x:v>
      </x:c>
      <x:c r="B350" t="n">
        <x:v>1</x:v>
      </x:c>
      <x:c r="C350" t="n">
        <x:v>375.6302365321833</x:v>
      </x:c>
      <x:c r="D350" t="n">
        <x:v>368.7719608241794</x:v>
      </x:c>
      <x:c r="E350" t="str">
        <x:v>2026Q1</x:v>
      </x:c>
    </x:row>
    <x:row r="351">
      <x:c r="A351" t="n">
        <x:v>2026</x:v>
      </x:c>
      <x:c r="B351" t="n">
        <x:v>2</x:v>
      </x:c>
      <x:c r="C351" t="n">
        <x:v>350.9060943167703</x:v>
      </x:c>
      <x:c r="D351" t="n">
        <x:v>358.6322534998307</x:v>
      </x:c>
      <x:c r="E351" t="str">
        <x:v>2026Q1</x:v>
      </x:c>
    </x:row>
    <x:row r="352">
      <x:c r="A352" t="n">
        <x:v>2026</x:v>
      </x:c>
      <x:c r="B352" t="n">
        <x:v>3</x:v>
      </x:c>
      <x:c r="C352" t="n">
        <x:v>445.8538602646532</x:v>
      </x:c>
      <x:c r="D352" t="n">
        <x:v>464.2897914247416</x:v>
      </x:c>
      <x:c r="E352" t="str">
        <x:v>2026Q1</x:v>
      </x:c>
    </x:row>
    <x:row r="353">
      <x:c r="A353" t="n">
        <x:v>2026</x:v>
      </x:c>
      <x:c r="B353" t="n">
        <x:v>4</x:v>
      </x:c>
      <x:c r="C353" t="n">
        <x:v>342.4328935785323</x:v>
      </x:c>
      <x:c r="D353" t="n">
        <x:v>346.2288787832775</x:v>
      </x:c>
      <x:c r="E353" t="str">
        <x:v>2026Q2</x:v>
      </x:c>
    </x:row>
    <x:row r="354">
      <x:c r="A354" t="n">
        <x:v>2026</x:v>
      </x:c>
      <x:c r="B354" t="n">
        <x:v>5</x:v>
      </x:c>
      <x:c r="C354" t="n">
        <x:v>321.5902358773562</x:v>
      </x:c>
      <x:c r="D354" t="n">
        <x:v>318.3625346474784</x:v>
      </x:c>
      <x:c r="E354" t="str">
        <x:v>2026Q2</x:v>
      </x:c>
    </x:row>
    <x:row r="355">
      <x:c r="A355" t="n">
        <x:v>2026</x:v>
      </x:c>
      <x:c r="B355" t="n">
        <x:v>6</x:v>
      </x:c>
      <x:c r="C355" t="n">
        <x:v>282.7154703306027</x:v>
      </x:c>
      <x:c r="D355" t="n">
        <x:v>279.0340131880814</x:v>
      </x:c>
      <x:c r="E355" t="str">
        <x:v>2026Q2</x:v>
      </x:c>
    </x:row>
    <x:row r="356">
      <x:c r="A356" t="n">
        <x:v>2026</x:v>
      </x:c>
      <x:c r="B356" t="n">
        <x:v>7</x:v>
      </x:c>
      <x:c r="C356" t="n">
        <x:v>241.6904910005747</x:v>
      </x:c>
      <x:c r="D356" t="n">
        <x:v>236.256033970068</x:v>
      </x:c>
      <x:c r="E356" t="str">
        <x:v>2026Q3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0" hidden="0" customWidth="1"/>
  </x:cols>
  <x:sheetData>
    <x:row r="1">
      <x:c r="A1" s="5" t="str">
        <x:v>Field</x:v>
      </x:c>
      <x:c r="B1" s="5" t="str">
        <x:v>Explanation</x:v>
      </x:c>
    </x:row>
    <x:row r="2">
      <x:c r="A2" t="str">
        <x:v>Source file</x:v>
      </x:c>
      <x:c r="B2" s="10" t="str">
        <x:v>Global_Policy_Uncertainty_Data (2).xlsx</x:v>
      </x:c>
    </x:row>
    <x:row r="3">
      <x:c r="A3" t="str">
        <x:v>Underlying citation</x:v>
      </x:c>
      <x:c r="B3" s="10" t="str">
        <x:v>Davis, Steven J. (2016), An Index of Global Economic Policy Uncertainty, Macroeconomic Review, October.</x:v>
      </x:c>
    </x:row>
    <x:row r="4">
      <x:c r="A4" t="str">
        <x:v>Input frequency</x:v>
      </x:c>
      <x:c r="B4" s="10" t="str">
        <x:v>Monthly</x:v>
      </x:c>
    </x:row>
    <x:row r="5">
      <x:c r="A5" t="str">
        <x:v>Quarterly transformation</x:v>
      </x:c>
      <x:c r="B5" s="10" t="str">
        <x:v>Arithmetic mean of observed monthly index levels within calendar quarter (Jan-Mar, Apr-Jun, Jul-Sep, Oct-Dec).</x:v>
      </x:c>
    </x:row>
    <x:row r="6">
      <x:c r="A6" t="str">
        <x:v>Current-price weighted measure</x:v>
      </x:c>
      <x:c r="B6" s="10" t="str">
        <x:v>GEPU_current</x:v>
      </x:c>
    </x:row>
    <x:row r="7">
      <x:c r="A7" t="str">
        <x:v>PPP-weighted measure</x:v>
      </x:c>
      <x:c r="B7" s="10" t="str">
        <x:v>GEPU_ppp</x:v>
      </x:c>
    </x:row>
    <x:row r="8">
      <x:c r="A8" t="str">
        <x:v>Missing-data policy</x:v>
      </x:c>
      <x:c r="B8" s="10" t="str">
        <x:v>Never impute; never replace missing observations with zeros.</x:v>
      </x:c>
    </x:row>
    <x:row r="9">
      <x:c r="A9" t="str">
        <x:v>Completeness requirement</x:v>
      </x:c>
      <x:c r="B9" s="10" t="str">
        <x:v>Use quarters with 3 observed months for estimation.</x:v>
      </x:c>
    </x:row>
    <x:row r="10">
      <x:c r="A10" t="str">
        <x:v>Data span</x:v>
      </x:c>
      <x:c r="B10" s="10" t="str">
        <x:v>1997-01 to 2026-07</x:v>
      </x:c>
    </x:row>
    <x:row r="11">
      <x:c r="A11" t="str">
        <x:v>Most recent quarter</x:v>
      </x:c>
      <x:c r="B11" s="10" t="str">
        <x:v>2026Q3 is incomplete (July only), exclude it from baseline estimation.</x:v>
      </x:c>
    </x:row>
    <x:row r="12">
      <x:c r="A12" t="str">
        <x:v>Quarterly data end (complete)</x:v>
      </x:c>
      <x:c r="B12" s="10" t="str">
        <x:v>2026Q2</x:v>
      </x:c>
    </x:row>
    <x:row r="13">
      <x:c r="A13" t="str">
        <x:v>Suggested TVP-GVAR data column</x:v>
      </x:c>
      <x:c r="B13" s="10" t="str">
        <x:v>Choose either GEPU_current or GEPU_ppp, keep a consistent series and document the choice.</x:v>
      </x:c>
    </x:row>
    <x:row r="14">
      <x:c r="A14" t="str">
        <x:v>No extra transformations</x:v>
      </x:c>
      <x:c r="B14" s="10" t="str">
        <x:v>No log, differencing, normalization or standardization applied.</x:v>
      </x:c>
    </x:row>
  </x:sheetData>
  <x:pageMargins left="0.7" right="0.7" top="0.75" bottom="0.75" header="0.3" footer="0.3"/>
</x:worksheet>
</file>