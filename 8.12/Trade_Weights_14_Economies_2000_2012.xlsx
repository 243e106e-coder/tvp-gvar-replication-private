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bc7b220bc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Bilateral" sheetId="1" r:id="R4430d576ca0246ae"/>
    <x:sheet xmlns:r="http://schemas.openxmlformats.org/officeDocument/2006/relationships" name="Trade_Average_2000_2012" sheetId="2" r:id="Re1cf86b6caa34a08"/>
    <x:sheet xmlns:r="http://schemas.openxmlformats.org/officeDocument/2006/relationships" name="Trade_Weight_14x14" sheetId="3" r:id="R4306aee7514c4bfe"/>
    <x:sheet xmlns:r="http://schemas.openxmlformats.org/officeDocument/2006/relationships" name="Row_Sum_Check" sheetId="4" r:id="R95b885d377354fda"/>
    <x:sheet xmlns:r="http://schemas.openxmlformats.org/officeDocument/2006/relationships" name="Data_Notes" sheetId="5" r:id="R294ea0a6f175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00"/>
    <x:numFmt numFmtId="202" formatCode="0.000000"/>
    <x:numFmt numFmtId="203" formatCode="0.000000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889b95e0b485e" /><Relationship Type="http://schemas.openxmlformats.org/officeDocument/2006/relationships/theme" Target="/xl/theme/theme1.xml" Id="Redb650b21aeb4fe3" /><Relationship Type="http://schemas.openxmlformats.org/officeDocument/2006/relationships/sharedStrings" Target="/xl/sharedStrings.xml" Id="R9d1b606f709140af" /><Relationship Type="http://schemas.openxmlformats.org/officeDocument/2006/relationships/worksheet" Target="/xl/worksheets/sheet1.xml" Id="R4430d576ca0246ae" /><Relationship Type="http://schemas.openxmlformats.org/officeDocument/2006/relationships/worksheet" Target="/xl/worksheets/sheet2.xml" Id="Re1cf86b6caa34a08" /><Relationship Type="http://schemas.openxmlformats.org/officeDocument/2006/relationships/worksheet" Target="/xl/worksheets/sheet3.xml" Id="R4306aee7514c4bfe" /><Relationship Type="http://schemas.openxmlformats.org/officeDocument/2006/relationships/worksheet" Target="/xl/worksheets/sheet4.xml" Id="R95b885d377354fda" /><Relationship Type="http://schemas.openxmlformats.org/officeDocument/2006/relationships/worksheet" Target="/xl/worksheets/sheet5.xml" Id="R294ea0a6f17548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>
      <x:c r="A1" s="5" t="str">
        <x:v>Reporter</x:v>
      </x:c>
      <x:c r="B1" s="5" t="str">
        <x:v>Partner</x:v>
      </x:c>
      <x:c r="C1" s="5" t="str">
        <x:v>Reporter Name</x:v>
      </x:c>
      <x:c r="D1" s="5" t="str">
        <x:v>Partner Name</x:v>
      </x:c>
      <x:c r="E1" s="5" t="str">
        <x:v>X_2000</x:v>
      </x:c>
      <x:c r="F1" s="5" t="str">
        <x:v>X_2001</x:v>
      </x:c>
      <x:c r="G1" s="5" t="str">
        <x:v>X_2002</x:v>
      </x:c>
      <x:c r="H1" s="5" t="str">
        <x:v>X_2003</x:v>
      </x:c>
      <x:c r="I1" s="5" t="str">
        <x:v>X_2004</x:v>
      </x:c>
      <x:c r="J1" s="5" t="str">
        <x:v>X_2005</x:v>
      </x:c>
      <x:c r="K1" s="5" t="str">
        <x:v>X_2006</x:v>
      </x:c>
      <x:c r="L1" s="5" t="str">
        <x:v>X_2007</x:v>
      </x:c>
      <x:c r="M1" s="5" t="str">
        <x:v>X_2008</x:v>
      </x:c>
      <x:c r="N1" s="5" t="str">
        <x:v>X_2009</x:v>
      </x:c>
      <x:c r="O1" s="5" t="str">
        <x:v>X_2010</x:v>
      </x:c>
      <x:c r="P1" s="5" t="str">
        <x:v>X_2011</x:v>
      </x:c>
      <x:c r="Q1" s="5" t="str">
        <x:v>X_2012</x:v>
      </x:c>
      <x:c r="R1" s="5" t="str">
        <x:v>M_2000</x:v>
      </x:c>
      <x:c r="S1" s="5" t="str">
        <x:v>M_2001</x:v>
      </x:c>
      <x:c r="T1" s="5" t="str">
        <x:v>M_2002</x:v>
      </x:c>
      <x:c r="U1" s="5" t="str">
        <x:v>M_2003</x:v>
      </x:c>
      <x:c r="V1" s="5" t="str">
        <x:v>M_2004</x:v>
      </x:c>
      <x:c r="W1" s="5" t="str">
        <x:v>M_2005</x:v>
      </x:c>
      <x:c r="X1" s="5" t="str">
        <x:v>M_2006</x:v>
      </x:c>
      <x:c r="Y1" s="5" t="str">
        <x:v>M_2007</x:v>
      </x:c>
      <x:c r="Z1" s="5" t="str">
        <x:v>M_2008</x:v>
      </x:c>
      <x:c r="AA1" s="5" t="str">
        <x:v>M_2009</x:v>
      </x:c>
      <x:c r="AB1" s="5" t="str">
        <x:v>M_2010</x:v>
      </x:c>
      <x:c r="AC1" s="5" t="str">
        <x:v>M_2011</x:v>
      </x:c>
      <x:c r="AD1" s="5" t="str">
        <x:v>M_2012</x:v>
      </x:c>
      <x:c r="AE1" s="5" t="str">
        <x:v>Avg Export</x:v>
      </x:c>
      <x:c r="AF1" s="5" t="str">
        <x:v>Avg Import</x:v>
      </x:c>
      <x:c r="AG1" s="5" t="str">
        <x:v>Avg Total Trade</x:v>
      </x:c>
    </x:row>
    <x:row r="2">
      <x:c r="A2" t="str">
        <x:v>AU</x:v>
      </x:c>
      <x:c r="B2" t="str">
        <x:v>AU</x:v>
      </x:c>
      <x:c r="C2" t="str">
        <x:v>Australia</x:v>
      </x:c>
      <x:c r="D2" t="str">
        <x:v>Australia</x:v>
      </x:c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 t="n">
        <x:f>IF(A2=B2,0,AVERAGE(E2:Q2))</x:f>
        <x:v>0</x:v>
      </x:c>
      <x:c r="AF2" s="10" t="n">
        <x:f>IF(A2=B2,0,AVERAGE(R2:AD2))</x:f>
        <x:v>0</x:v>
      </x:c>
      <x:c r="AG2" s="10" t="n">
        <x:f>AE2+AF2</x:f>
        <x:v>0</x:v>
      </x:c>
    </x:row>
    <x:row r="3">
      <x:c r="A3" t="str">
        <x:v>AU</x:v>
      </x:c>
      <x:c r="B3" t="str">
        <x:v>BR</x:v>
      </x:c>
      <x:c r="C3" t="str">
        <x:v>Australia</x:v>
      </x:c>
      <x:c r="D3" t="str">
        <x:v>Brazil</x:v>
      </x:c>
      <x:c r="E3" s="10" t="n">
        <x:v>324.017248</x:v>
      </x:c>
      <x:c r="F3" s="10" t="n">
        <x:v>244.659116</x:v>
      </x:c>
      <x:c r="G3" s="10" t="n">
        <x:v>219.3404</x:v>
      </x:c>
      <x:c r="H3" s="10" t="n">
        <x:v>301.9533</x:v>
      </x:c>
      <x:c r="I3" s="10" t="n">
        <x:v>407.570484</x:v>
      </x:c>
      <x:c r="J3" s="10" t="n">
        <x:v>642.914875</x:v>
      </x:c>
      <x:c r="K3" s="10" t="n">
        <x:v>695.578575</x:v>
      </x:c>
      <x:c r="L3" s="10" t="n">
        <x:v>761.509029</x:v>
      </x:c>
      <x:c r="M3" s="10" t="n">
        <x:v>1312.072335</x:v>
      </x:c>
      <x:c r="N3" s="10" t="n">
        <x:v>748.970811</x:v>
      </x:c>
      <x:c r="O3" s="10" t="n">
        <x:v>1417.682469</x:v>
      </x:c>
      <x:c r="P3" s="10" t="n">
        <x:v>1448.324946</x:v>
      </x:c>
      <x:c r="Q3" s="10" t="n">
        <x:v>1026.822042</x:v>
      </x:c>
      <x:c r="R3" s="10" t="n">
        <x:v>401.077547</x:v>
      </x:c>
      <x:c r="S3" s="10" t="n">
        <x:v>287.316395</x:v>
      </x:c>
      <x:c r="T3" s="10" t="n">
        <x:v>269.310842</x:v>
      </x:c>
      <x:c r="U3" s="10" t="n">
        <x:v>334.808076</x:v>
      </x:c>
      <x:c r="V3" s="10" t="n">
        <x:v>427.52641</x:v>
      </x:c>
      <x:c r="W3" s="10" t="n">
        <x:v>583.09451</x:v>
      </x:c>
      <x:c r="X3" s="10" t="n">
        <x:v>656.689614</x:v>
      </x:c>
      <x:c r="Y3" s="10" t="n">
        <x:v>810.627489</x:v>
      </x:c>
      <x:c r="Z3" s="10" t="n">
        <x:v>1138.995065</x:v>
      </x:c>
      <x:c r="AA3" s="10" t="n">
        <x:v>525.084637</x:v>
      </x:c>
      <x:c r="AB3" s="10" t="n">
        <x:v>744.166367</x:v>
      </x:c>
      <x:c r="AC3" s="10" t="n">
        <x:v>903.419521</x:v>
      </x:c>
      <x:c r="AD3" s="10" t="n">
        <x:v>700.476463</x:v>
      </x:c>
      <x:c r="AE3" s="10" t="n">
        <x:f>IF(A3=B3,0,AVERAGE(E3:Q3))</x:f>
        <x:v>734.7242792307693</x:v>
      </x:c>
      <x:c r="AF3" s="10" t="n">
        <x:f>IF(A3=B3,0,AVERAGE(R3:AD3))</x:f>
        <x:v>598.660995076923</x:v>
      </x:c>
      <x:c r="AG3" s="10" t="n">
        <x:f>AE3+AF3</x:f>
        <x:v>1333.3852743076923</x:v>
      </x:c>
    </x:row>
    <x:row r="4">
      <x:c r="A4" t="str">
        <x:v>AU</x:v>
      </x:c>
      <x:c r="B4" t="str">
        <x:v>CA</x:v>
      </x:c>
      <x:c r="C4" t="str">
        <x:v>Australia</x:v>
      </x:c>
      <x:c r="D4" t="str">
        <x:v>Canada</x:v>
      </x:c>
      <x:c r="E4" s="10" t="n">
        <x:v>827.38599</x:v>
      </x:c>
      <x:c r="F4" s="10" t="n">
        <x:v>915.384663</x:v>
      </x:c>
      <x:c r="G4" s="10" t="n">
        <x:v>999.436506</x:v>
      </x:c>
      <x:c r="H4" s="10" t="n">
        <x:v>1098.806229</x:v>
      </x:c>
      <x:c r="I4" s="10" t="n">
        <x:v>1419.445115</x:v>
      </x:c>
      <x:c r="J4" s="10" t="n">
        <x:v>1368.877592</x:v>
      </x:c>
      <x:c r="K4" s="10" t="n">
        <x:v>1211.898409</x:v>
      </x:c>
      <x:c r="L4" s="10" t="n">
        <x:v>1519.69945</x:v>
      </x:c>
      <x:c r="M4" s="10" t="n">
        <x:v>1335.426298</x:v>
      </x:c>
      <x:c r="N4" s="10" t="n">
        <x:v>1102.676485</x:v>
      </x:c>
      <x:c r="O4" s="10" t="n">
        <x:v>1147.751204</x:v>
      </x:c>
      <x:c r="P4" s="10" t="n">
        <x:v>1521.146469</x:v>
      </x:c>
      <x:c r="Q4" s="10" t="n">
        <x:v>1718.834134</x:v>
      </x:c>
      <x:c r="R4" s="10" t="n">
        <x:v>1164.9783</x:v>
      </x:c>
      <x:c r="S4" s="10" t="n">
        <x:v>958.260369</x:v>
      </x:c>
      <x:c r="T4" s="10" t="n">
        <x:v>1019.044997</x:v>
      </x:c>
      <x:c r="U4" s="10" t="n">
        <x:v>1239.097727</x:v>
      </x:c>
      <x:c r="V4" s="10" t="n">
        <x:v>1435.854866</x:v>
      </x:c>
      <x:c r="W4" s="10" t="n">
        <x:v>1510.767551</x:v>
      </x:c>
      <x:c r="X4" s="10" t="n">
        <x:v>1781.096245</x:v>
      </x:c>
      <x:c r="Y4" s="10" t="n">
        <x:v>1815.389319</x:v>
      </x:c>
      <x:c r="Z4" s="10" t="n">
        <x:v>2326.914035</x:v>
      </x:c>
      <x:c r="AA4" s="10" t="n">
        <x:v>1551.708924</x:v>
      </x:c>
      <x:c r="AB4" s="10" t="n">
        <x:v>1690.721324</x:v>
      </x:c>
      <x:c r="AC4" s="10" t="n">
        <x:v>1934.105054</x:v>
      </x:c>
      <x:c r="AD4" s="10" t="n">
        <x:v>2523.870808</x:v>
      </x:c>
      <x:c r="AE4" s="10" t="n">
        <x:f>IF(A4=B4,0,AVERAGE(E4:Q4))</x:f>
        <x:v>1245.1360418461538</x:v>
      </x:c>
      <x:c r="AF4" s="10" t="n">
        <x:f>IF(A4=B4,0,AVERAGE(R4:AD4))</x:f>
        <x:v>1611.6776553076922</x:v>
      </x:c>
      <x:c r="AG4" s="10" t="n">
        <x:f>AE4+AF4</x:f>
        <x:v>2856.813697153846</x:v>
      </x:c>
    </x:row>
    <x:row r="5">
      <x:c r="A5" t="str">
        <x:v>AU</x:v>
      </x:c>
      <x:c r="B5" t="str">
        <x:v>CH</x:v>
      </x:c>
      <x:c r="C5" t="str">
        <x:v>Australia</x:v>
      </x:c>
      <x:c r="D5" t="str">
        <x:v>Switzerland</x:v>
      </x:c>
      <x:c r="E5" s="10" t="n">
        <x:v>116.212658</x:v>
      </x:c>
      <x:c r="F5" s="10" t="n">
        <x:v>136.657102</x:v>
      </x:c>
      <x:c r="G5" s="10" t="n">
        <x:v>162.796661</x:v>
      </x:c>
      <x:c r="H5" s="10" t="n">
        <x:v>177.237366</x:v>
      </x:c>
      <x:c r="I5" s="10" t="n">
        <x:v>153.434898</x:v>
      </x:c>
      <x:c r="J5" s="10" t="n">
        <x:v>200.053199</x:v>
      </x:c>
      <x:c r="K5" s="10" t="n">
        <x:v>288.514738</x:v>
      </x:c>
      <x:c r="L5" s="10" t="n">
        <x:v>1371.867944</x:v>
      </x:c>
      <x:c r="M5" s="10" t="n">
        <x:v>364.089209</x:v>
      </x:c>
      <x:c r="N5" s="10" t="n">
        <x:v>388.942966</x:v>
      </x:c>
      <x:c r="O5" s="10" t="n">
        <x:v>281.360585</x:v>
      </x:c>
      <x:c r="P5" s="10" t="n">
        <x:v>680.507486</x:v>
      </x:c>
      <x:c r="Q5" s="10" t="n">
        <x:v>704.774563</x:v>
      </x:c>
      <x:c r="R5" s="10" t="n">
        <x:v>778.055055</x:v>
      </x:c>
      <x:c r="S5" s="10" t="n">
        <x:v>703.241155</x:v>
      </x:c>
      <x:c r="T5" s="10" t="n">
        <x:v>733.780028</x:v>
      </x:c>
      <x:c r="U5" s="10" t="n">
        <x:v>791.372924</x:v>
      </x:c>
      <x:c r="V5" s="10" t="n">
        <x:v>1068.241337</x:v>
      </x:c>
      <x:c r="W5" s="10" t="n">
        <x:v>1214.063367</x:v>
      </x:c>
      <x:c r="X5" s="10" t="n">
        <x:v>1439.548883</x:v>
      </x:c>
      <x:c r="Y5" s="10" t="n">
        <x:v>1765.908128</x:v>
      </x:c>
      <x:c r="Z5" s="10" t="n">
        <x:v>2045.666188</x:v>
      </x:c>
      <x:c r="AA5" s="10" t="n">
        <x:v>2055.264942</x:v>
      </x:c>
      <x:c r="AB5" s="10" t="n">
        <x:v>2152.611469</x:v>
      </x:c>
      <x:c r="AC5" s="10" t="n">
        <x:v>3249.396513</x:v>
      </x:c>
      <x:c r="AD5" s="10" t="n">
        <x:v>3175.915352</x:v>
      </x:c>
      <x:c r="AE5" s="10" t="n">
        <x:f>IF(A5=B5,0,AVERAGE(E5:Q5))</x:f>
        <x:v>386.64995192307686</x:v>
      </x:c>
      <x:c r="AF5" s="10" t="n">
        <x:f>IF(A5=B5,0,AVERAGE(R5:AD5))</x:f>
        <x:v>1628.697333923077</x:v>
      </x:c>
      <x:c r="AG5" s="10" t="n">
        <x:f>AE5+AF5</x:f>
        <x:v>2015.3472858461537</x:v>
      </x:c>
    </x:row>
    <x:row r="6">
      <x:c r="A6" t="str">
        <x:v>AU</x:v>
      </x:c>
      <x:c r="B6" t="str">
        <x:v>CN</x:v>
      </x:c>
      <x:c r="C6" t="str">
        <x:v>Australia</x:v>
      </x:c>
      <x:c r="D6" t="str">
        <x:v>China, People's Republic of</x:v>
      </x:c>
      <x:c r="E6" s="10" t="n">
        <x:v>3602.345416</x:v>
      </x:c>
      <x:c r="F6" s="10" t="n">
        <x:v>3904.140028</x:v>
      </x:c>
      <x:c r="G6" s="10" t="n">
        <x:v>4528.111044</x:v>
      </x:c>
      <x:c r="H6" s="10" t="n">
        <x:v>5929.352373</x:v>
      </x:c>
      <x:c r="I6" s="10" t="n">
        <x:v>7946.137976</x:v>
      </x:c>
      <x:c r="J6" s="10" t="n">
        <x:v>12075.044807</x:v>
      </x:c>
      <x:c r="K6" s="10" t="n">
        <x:v>14986.894218</x:v>
      </x:c>
      <x:c r="L6" s="10" t="n">
        <x:v>20067.202343</x:v>
      </x:c>
      <x:c r="M6" s="10" t="n">
        <x:v>27068.13121</x:v>
      </x:c>
      <x:c r="N6" s="10" t="n">
        <x:v>33499.191811</x:v>
      </x:c>
      <x:c r="O6" s="10" t="n">
        <x:v>53110.965983</x:v>
      </x:c>
      <x:c r="P6" s="10" t="n">
        <x:v>74148.971913</x:v>
      </x:c>
      <x:c r="Q6" s="10" t="n">
        <x:v>75998.573726</x:v>
      </x:c>
      <x:c r="R6" s="10" t="n">
        <x:v>5600.0415</x:v>
      </x:c>
      <x:c r="S6" s="10" t="n">
        <x:v>5652.627957</x:v>
      </x:c>
      <x:c r="T6" s="10" t="n">
        <x:v>7426.312267</x:v>
      </x:c>
      <x:c r="U6" s="10" t="n">
        <x:v>9900.355422</x:v>
      </x:c>
      <x:c r="V6" s="10" t="n">
        <x:v>13973.53567</x:v>
      </x:c>
      <x:c r="W6" s="10" t="n">
        <x:v>17268.323608</x:v>
      </x:c>
      <x:c r="X6" s="10" t="n">
        <x:v>20295.281829</x:v>
      </x:c>
      <x:c r="Y6" s="10" t="n">
        <x:v>25928.740479</x:v>
      </x:c>
      <x:c r="Z6" s="10" t="n">
        <x:v>31255.316155</x:v>
      </x:c>
      <x:c r="AA6" s="10" t="n">
        <x:v>30248.827632</x:v>
      </x:c>
      <x:c r="AB6" s="10" t="n">
        <x:v>38387.69667</x:v>
      </x:c>
      <x:c r="AC6" s="10" t="n">
        <x:v>46088.449846</x:v>
      </x:c>
      <x:c r="AD6" s="10" t="n">
        <x:v>48778.528892</x:v>
      </x:c>
      <x:c r="AE6" s="10" t="n">
        <x:f>IF(A6=B6,0,AVERAGE(E6:Q6))</x:f>
        <x:v>25912.697142153844</x:v>
      </x:c>
      <x:c r="AF6" s="10" t="n">
        <x:f>IF(A6=B6,0,AVERAGE(R6:AD6))</x:f>
        <x:v>23138.77214823077</x:v>
      </x:c>
      <x:c r="AG6" s="10" t="n">
        <x:f>AE6+AF6</x:f>
        <x:v>49051.469290384615</x:v>
      </x:c>
    </x:row>
    <x:row r="7">
      <x:c r="A7" t="str">
        <x:v>AU</x:v>
      </x:c>
      <x:c r="B7" t="str">
        <x:v>EA</x:v>
      </x:c>
      <x:c r="C7" t="str">
        <x:v>Australia</x:v>
      </x:c>
      <x:c r="D7" t="str">
        <x:v>Euro Area (EA)</x:v>
      </x:c>
      <x:c r="E7" s="10" t="n">
        <x:v>4929.814783</x:v>
      </x:c>
      <x:c r="F7" s="10" t="n">
        <x:v>4730.90871</x:v>
      </x:c>
      <x:c r="G7" s="10" t="n">
        <x:v>4858.861642</x:v>
      </x:c>
      <x:c r="H7" s="10" t="n">
        <x:v>4956.542013</x:v>
      </x:c>
      <x:c r="I7" s="10" t="n">
        <x:v>5582.513629</x:v>
      </x:c>
      <x:c r="J7" s="10" t="n">
        <x:v>6972.380293</x:v>
      </x:c>
      <x:c r="K7" s="10" t="n">
        <x:v>8468.436375</x:v>
      </x:c>
      <x:c r="L7" s="10" t="n">
        <x:v>9538.270887</x:v>
      </x:c>
      <x:c r="M7" s="10" t="n">
        <x:v>10952.70571</x:v>
      </x:c>
      <x:c r="N7" s="10" t="n">
        <x:v>6046.524847</x:v>
      </x:c>
      <x:c r="O7" s="10" t="n">
        <x:v>8746.015839</x:v>
      </x:c>
      <x:c r="P7" s="10" t="n">
        <x:v>11664.214915</x:v>
      </x:c>
      <x:c r="Q7" s="10" t="n">
        <x:v>9925.048877</x:v>
      </x:c>
      <x:c r="R7" s="10" t="n">
        <x:v>10137.319389</x:v>
      </x:c>
      <x:c r="S7" s="10" t="n">
        <x:v>9976.882174</x:v>
      </x:c>
      <x:c r="T7" s="10" t="n">
        <x:v>12184.951667</x:v>
      </x:c>
      <x:c r="U7" s="10" t="n">
        <x:v>15799.592415</x:v>
      </x:c>
      <x:c r="V7" s="10" t="n">
        <x:v>19030.517162</x:v>
      </x:c>
      <x:c r="W7" s="10" t="n">
        <x:v>21220.018022</x:v>
      </x:c>
      <x:c r="X7" s="10" t="n">
        <x:v>20914.722327</x:v>
      </x:c>
      <x:c r="Y7" s="10" t="n">
        <x:v>25648.881197</x:v>
      </x:c>
      <x:c r="Z7" s="10" t="n">
        <x:v>29522.793458</x:v>
      </x:c>
      <x:c r="AA7" s="10" t="n">
        <x:v>24309.996639</x:v>
      </x:c>
      <x:c r="AB7" s="10" t="n">
        <x:v>27578.246979</x:v>
      </x:c>
      <x:c r="AC7" s="10" t="n">
        <x:v>31701.013752</x:v>
      </x:c>
      <x:c r="AD7" s="10" t="n">
        <x:v>34041.669484</x:v>
      </x:c>
      <x:c r="AE7" s="10" t="n">
        <x:f>IF(A7=B7,0,AVERAGE(E7:Q7))</x:f>
        <x:v>7490.172193846154</x:v>
      </x:c>
      <x:c r="AF7" s="10" t="n">
        <x:f>IF(A7=B7,0,AVERAGE(R7:AD7))</x:f>
        <x:v>21697.43112807692</x:v>
      </x:c>
      <x:c r="AG7" s="10" t="n">
        <x:f>AE7+AF7</x:f>
        <x:v>29187.603321923074</x:v>
      </x:c>
    </x:row>
    <x:row r="8">
      <x:c r="A8" t="str">
        <x:v>AU</x:v>
      </x:c>
      <x:c r="B8" t="str">
        <x:v>UK</x:v>
      </x:c>
      <x:c r="C8" t="str">
        <x:v>Australia</x:v>
      </x:c>
      <x:c r="D8" t="str">
        <x:v>United Kingdom</x:v>
      </x:c>
      <x:c r="E8" s="10" t="n">
        <x:v>2176.755012</x:v>
      </x:c>
      <x:c r="F8" s="10" t="n">
        <x:v>2655.356018</x:v>
      </x:c>
      <x:c r="G8" s="10" t="n">
        <x:v>3037.143075</x:v>
      </x:c>
      <x:c r="H8" s="10" t="n">
        <x:v>4722.959292</x:v>
      </x:c>
      <x:c r="I8" s="10" t="n">
        <x:v>3642.006106</x:v>
      </x:c>
      <x:c r="J8" s="10" t="n">
        <x:v>3732.130809</x:v>
      </x:c>
      <x:c r="K8" s="10" t="n">
        <x:v>6106.849014</x:v>
      </x:c>
      <x:c r="L8" s="10" t="n">
        <x:v>5999.559345</x:v>
      </x:c>
      <x:c r="M8" s="10" t="n">
        <x:v>7876.836118</x:v>
      </x:c>
      <x:c r="N8" s="10" t="n">
        <x:v>6708.330095</x:v>
      </x:c>
      <x:c r="O8" s="10" t="n">
        <x:v>7608.098667</x:v>
      </x:c>
      <x:c r="P8" s="10" t="n">
        <x:v>7823.314158</x:v>
      </x:c>
      <x:c r="Q8" s="10" t="n">
        <x:v>6943.975292</x:v>
      </x:c>
      <x:c r="R8" s="10" t="n">
        <x:v>4171.225629</x:v>
      </x:c>
      <x:c r="S8" s="10" t="n">
        <x:v>3444.363013</x:v>
      </x:c>
      <x:c r="T8" s="10" t="n">
        <x:v>3372.840124</x:v>
      </x:c>
      <x:c r="U8" s="10" t="n">
        <x:v>3763.769729</x:v>
      </x:c>
      <x:c r="V8" s="10" t="n">
        <x:v>4495.210801</x:v>
      </x:c>
      <x:c r="W8" s="10" t="n">
        <x:v>5011.140283</x:v>
      </x:c>
      <x:c r="X8" s="10" t="n">
        <x:v>4969.223169</x:v>
      </x:c>
      <x:c r="Y8" s="10" t="n">
        <x:v>7160.964495</x:v>
      </x:c>
      <x:c r="Z8" s="10" t="n">
        <x:v>8818.661201</x:v>
      </x:c>
      <x:c r="AA8" s="10" t="n">
        <x:v>5155.098866</x:v>
      </x:c>
      <x:c r="AB8" s="10" t="n">
        <x:v>5662.087259</x:v>
      </x:c>
      <x:c r="AC8" s="10" t="n">
        <x:v>7374.828074</x:v>
      </x:c>
      <x:c r="AD8" s="10" t="n">
        <x:v>7378.681448</x:v>
      </x:c>
      <x:c r="AE8" s="10" t="n">
        <x:f>IF(A8=B8,0,AVERAGE(E8:Q8))</x:f>
        <x:v>5310.2548462307695</x:v>
      </x:c>
      <x:c r="AF8" s="10" t="n">
        <x:f>IF(A8=B8,0,AVERAGE(R8:AD8))</x:f>
        <x:v>5444.4687762307685</x:v>
      </x:c>
      <x:c r="AG8" s="10" t="n">
        <x:f>AE8+AF8</x:f>
        <x:v>10754.723622461537</x:v>
      </x:c>
    </x:row>
    <x:row r="9">
      <x:c r="A9" t="str">
        <x:v>AU</x:v>
      </x:c>
      <x:c r="B9" t="str">
        <x:v>JP</x:v>
      </x:c>
      <x:c r="C9" t="str">
        <x:v>Australia</x:v>
      </x:c>
      <x:c r="D9" t="str">
        <x:v>Japan</x:v>
      </x:c>
      <x:c r="E9" s="10" t="n">
        <x:v>12566.908437</x:v>
      </x:c>
      <x:c r="F9" s="10" t="n">
        <x:v>12211.524468</x:v>
      </x:c>
      <x:c r="G9" s="10" t="n">
        <x:v>12050.923916</x:v>
      </x:c>
      <x:c r="H9" s="10" t="n">
        <x:v>12839.654835</x:v>
      </x:c>
      <x:c r="I9" s="10" t="n">
        <x:v>16095.236722</x:v>
      </x:c>
      <x:c r="J9" s="10" t="n">
        <x:v>21305.137375</x:v>
      </x:c>
      <x:c r="K9" s="10" t="n">
        <x:v>23864.63293</x:v>
      </x:c>
      <x:c r="L9" s="10" t="n">
        <x:v>26677.086683</x:v>
      </x:c>
      <x:c r="M9" s="10" t="n">
        <x:v>41229.069322</x:v>
      </x:c>
      <x:c r="N9" s="10" t="n">
        <x:v>29474.867925</x:v>
      </x:c>
      <x:c r="O9" s="10" t="n">
        <x:v>40074.723563</x:v>
      </x:c>
      <x:c r="P9" s="10" t="n">
        <x:v>52103.39865</x:v>
      </x:c>
      <x:c r="Q9" s="10" t="n">
        <x:v>49796.972556</x:v>
      </x:c>
      <x:c r="R9" s="10" t="n">
        <x:v>9430.447363</x:v>
      </x:c>
      <x:c r="S9" s="10" t="n">
        <x:v>8350.633018</x:v>
      </x:c>
      <x:c r="T9" s="10" t="n">
        <x:v>9095.181066</x:v>
      </x:c>
      <x:c r="U9" s="10" t="n">
        <x:v>11242.018085</x:v>
      </x:c>
      <x:c r="V9" s="10" t="n">
        <x:v>12998.022689</x:v>
      </x:c>
      <x:c r="W9" s="10" t="n">
        <x:v>13852.70557</x:v>
      </x:c>
      <x:c r="X9" s="10" t="n">
        <x:v>13517.61463</x:v>
      </x:c>
      <x:c r="Y9" s="10" t="n">
        <x:v>16095.251903</x:v>
      </x:c>
      <x:c r="Z9" s="10" t="n">
        <x:v>18431.915833</x:v>
      </x:c>
      <x:c r="AA9" s="10" t="n">
        <x:v>14093.876902</x:v>
      </x:c>
      <x:c r="AB9" s="10" t="n">
        <x:v>17730.79059</x:v>
      </x:c>
      <x:c r="AC9" s="10" t="n">
        <x:v>19646.943445</x:v>
      </x:c>
      <x:c r="AD9" s="10" t="n">
        <x:v>20918.638222</x:v>
      </x:c>
      <x:c r="AE9" s="10" t="n">
        <x:f>IF(A9=B9,0,AVERAGE(E9:Q9))</x:f>
        <x:v>26945.39518323077</x:v>
      </x:c>
      <x:c r="AF9" s="10" t="n">
        <x:f>IF(A9=B9,0,AVERAGE(R9:AD9))</x:f>
        <x:v>14261.849178153847</x:v>
      </x:c>
      <x:c r="AG9" s="10" t="n">
        <x:f>AE9+AF9</x:f>
        <x:v>41207.24436138461</x:v>
      </x:c>
    </x:row>
    <x:row r="10">
      <x:c r="A10" t="str">
        <x:v>AU</x:v>
      </x:c>
      <x:c r="B10" t="str">
        <x:v>KR</x:v>
      </x:c>
      <x:c r="C10" t="str">
        <x:v>Australia</x:v>
      </x:c>
      <x:c r="D10" t="str">
        <x:v>Korea, Republic of</x:v>
      </x:c>
      <x:c r="E10" s="10" t="n">
        <x:v>4741.655452</x:v>
      </x:c>
      <x:c r="F10" s="10" t="n">
        <x:v>4928.856373</x:v>
      </x:c>
      <x:c r="G10" s="10" t="n">
        <x:v>5424.568252</x:v>
      </x:c>
      <x:c r="H10" s="10" t="n">
        <x:v>5253.085736</x:v>
      </x:c>
      <x:c r="I10" s="10" t="n">
        <x:v>6664.831695</x:v>
      </x:c>
      <x:c r="J10" s="10" t="n">
        <x:v>8251.670343</x:v>
      </x:c>
      <x:c r="K10" s="10" t="n">
        <x:v>9186.515894</x:v>
      </x:c>
      <x:c r="L10" s="10" t="n">
        <x:v>11358.981946</x:v>
      </x:c>
      <x:c r="M10" s="10" t="n">
        <x:v>15215.248303</x:v>
      </x:c>
      <x:c r="N10" s="10" t="n">
        <x:v>12108.165317</x:v>
      </x:c>
      <x:c r="O10" s="10" t="n">
        <x:v>18839.843006</x:v>
      </x:c>
      <x:c r="P10" s="10" t="n">
        <x:v>24075.891996</x:v>
      </x:c>
      <x:c r="Q10" s="10" t="n">
        <x:v>20674.496912</x:v>
      </x:c>
      <x:c r="R10" s="10" t="n">
        <x:v>2726.666367</x:v>
      </x:c>
      <x:c r="S10" s="10" t="n">
        <x:v>2536.933205</x:v>
      </x:c>
      <x:c r="T10" s="10" t="n">
        <x:v>2751.472185</x:v>
      </x:c>
      <x:c r="U10" s="10" t="n">
        <x:v>3291.289061</x:v>
      </x:c>
      <x:c r="V10" s="10" t="n">
        <x:v>3828.04367</x:v>
      </x:c>
      <x:c r="W10" s="10" t="n">
        <x:v>4196.948106</x:v>
      </x:c>
      <x:c r="X10" s="10" t="n">
        <x:v>5486.203897</x:v>
      </x:c>
      <x:c r="Y10" s="10" t="n">
        <x:v>5288.573863</x:v>
      </x:c>
      <x:c r="Z10" s="10" t="n">
        <x:v>5811.196084</x:v>
      </x:c>
      <x:c r="AA10" s="10" t="n">
        <x:v>5610.728096</x:v>
      </x:c>
      <x:c r="AB10" s="10" t="n">
        <x:v>6960.811804</x:v>
      </x:c>
      <x:c r="AC10" s="10" t="n">
        <x:v>7799.177127</x:v>
      </x:c>
      <x:c r="AD10" s="10" t="n">
        <x:v>10840.386974</x:v>
      </x:c>
      <x:c r="AE10" s="10" t="n">
        <x:f>IF(A10=B10,0,AVERAGE(E10:Q10))</x:f>
        <x:v>11286.447017307693</x:v>
      </x:c>
      <x:c r="AF10" s="10" t="n">
        <x:f>IF(A10=B10,0,AVERAGE(R10:AD10))</x:f>
        <x:v>5163.725418384615</x:v>
      </x:c>
      <x:c r="AG10" s="10" t="n">
        <x:f>AE10+AF10</x:f>
        <x:v>16450.172435692308</x:v>
      </x:c>
    </x:row>
    <x:row r="11">
      <x:c r="A11" t="str">
        <x:v>AU</x:v>
      </x:c>
      <x:c r="B11" t="str">
        <x:v>NO</x:v>
      </x:c>
      <x:c r="C11" t="str">
        <x:v>Australia</x:v>
      </x:c>
      <x:c r="D11" t="str">
        <x:v>Norway</x:v>
      </x:c>
      <x:c r="E11" s="10" t="n">
        <x:v>63.826526</x:v>
      </x:c>
      <x:c r="F11" s="10" t="n">
        <x:v>68.990721</x:v>
      </x:c>
      <x:c r="G11" s="10" t="n">
        <x:v>95.968695</x:v>
      </x:c>
      <x:c r="H11" s="10" t="n">
        <x:v>63.701739</x:v>
      </x:c>
      <x:c r="I11" s="10" t="n">
        <x:v>58.431622</x:v>
      </x:c>
      <x:c r="J11" s="10" t="n">
        <x:v>93.067914</x:v>
      </x:c>
      <x:c r="K11" s="10" t="n">
        <x:v>97.539654</x:v>
      </x:c>
      <x:c r="L11" s="10" t="n">
        <x:v>104.410879</x:v>
      </x:c>
      <x:c r="M11" s="10" t="n">
        <x:v>166.797315</x:v>
      </x:c>
      <x:c r="N11" s="10" t="n">
        <x:v>51.929927</x:v>
      </x:c>
      <x:c r="O11" s="10" t="n">
        <x:v>118.660608</x:v>
      </x:c>
      <x:c r="P11" s="10" t="n">
        <x:v>137.896206</x:v>
      </x:c>
      <x:c r="Q11" s="10" t="n">
        <x:v>184.233129</x:v>
      </x:c>
      <x:c r="R11" s="10" t="n">
        <x:v>85.76518</x:v>
      </x:c>
      <x:c r="S11" s="10" t="n">
        <x:v>124.085593</x:v>
      </x:c>
      <x:c r="T11" s="10" t="n">
        <x:v>140.643951</x:v>
      </x:c>
      <x:c r="U11" s="10" t="n">
        <x:v>144.317389</x:v>
      </x:c>
      <x:c r="V11" s="10" t="n">
        <x:v>118.903154</x:v>
      </x:c>
      <x:c r="W11" s="10" t="n">
        <x:v>223.846873</x:v>
      </x:c>
      <x:c r="X11" s="10" t="n">
        <x:v>172.890887</x:v>
      </x:c>
      <x:c r="Y11" s="10" t="n">
        <x:v>341.662497</x:v>
      </x:c>
      <x:c r="Z11" s="10" t="n">
        <x:v>396.130083</x:v>
      </x:c>
      <x:c r="AA11" s="10" t="n">
        <x:v>349.808781</x:v>
      </x:c>
      <x:c r="AB11" s="10" t="n">
        <x:v>388.134836</x:v>
      </x:c>
      <x:c r="AC11" s="10" t="n">
        <x:v>544.943423</x:v>
      </x:c>
      <x:c r="AD11" s="10" t="n">
        <x:v>313.482558</x:v>
      </x:c>
      <x:c r="AE11" s="10" t="n">
        <x:f>IF(A11=B11,0,AVERAGE(E11:Q11))</x:f>
        <x:v>100.41961038461538</x:v>
      </x:c>
      <x:c r="AF11" s="10" t="n">
        <x:f>IF(A11=B11,0,AVERAGE(R11:AD11))</x:f>
        <x:v>257.2780926923077</x:v>
      </x:c>
      <x:c r="AG11" s="10" t="n">
        <x:f>AE11+AF11</x:f>
        <x:v>357.6977030769231</x:v>
      </x:c>
    </x:row>
    <x:row r="12">
      <x:c r="A12" t="str">
        <x:v>AU</x:v>
      </x:c>
      <x:c r="B12" t="str">
        <x:v>SG</x:v>
      </x:c>
      <x:c r="C12" t="str">
        <x:v>Australia</x:v>
      </x:c>
      <x:c r="D12" t="str">
        <x:v>Singapore</x:v>
      </x:c>
      <x:c r="E12" s="10" t="n">
        <x:v>3393.788609</x:v>
      </x:c>
      <x:c r="F12" s="10" t="n">
        <x:v>2768.231099</x:v>
      </x:c>
      <x:c r="G12" s="10" t="n">
        <x:v>2641.009455</x:v>
      </x:c>
      <x:c r="H12" s="10" t="n">
        <x:v>2232.951538</x:v>
      </x:c>
      <x:c r="I12" s="10" t="n">
        <x:v>2368.651059</x:v>
      </x:c>
      <x:c r="J12" s="10" t="n">
        <x:v>3043.644536</x:v>
      </x:c>
      <x:c r="K12" s="10" t="n">
        <x:v>3459.628564</x:v>
      </x:c>
      <x:c r="L12" s="10" t="n">
        <x:v>3413.403254</x:v>
      </x:c>
      <x:c r="M12" s="10" t="n">
        <x:v>5365.481583</x:v>
      </x:c>
      <x:c r="N12" s="10" t="n">
        <x:v>4226.662967</x:v>
      </x:c>
      <x:c r="O12" s="10" t="n">
        <x:v>4444.825422</x:v>
      </x:c>
      <x:c r="P12" s="10" t="n">
        <x:v>6588.094832</x:v>
      </x:c>
      <x:c r="Q12" s="10" t="n">
        <x:v>7404.740314</x:v>
      </x:c>
      <x:c r="R12" s="10" t="n">
        <x:v>2278.305756</x:v>
      </x:c>
      <x:c r="S12" s="10" t="n">
        <x:v>2175.362767</x:v>
      </x:c>
      <x:c r="T12" s="10" t="n">
        <x:v>2479.146717</x:v>
      </x:c>
      <x:c r="U12" s="10" t="n">
        <x:v>3060.453157</x:v>
      </x:c>
      <x:c r="V12" s="10" t="n">
        <x:v>4810.740785</x:v>
      </x:c>
      <x:c r="W12" s="10" t="n">
        <x:v>7100.078392</x:v>
      </x:c>
      <x:c r="X12" s="10" t="n">
        <x:v>8433.493197</x:v>
      </x:c>
      <x:c r="Y12" s="10" t="n">
        <x:v>9367.025607</x:v>
      </x:c>
      <x:c r="Z12" s="10" t="n">
        <x:v>14192.159657</x:v>
      </x:c>
      <x:c r="AA12" s="10" t="n">
        <x:v>9337.45555</x:v>
      </x:c>
      <x:c r="AB12" s="10" t="n">
        <x:v>10392.496232</x:v>
      </x:c>
      <x:c r="AC12" s="10" t="n">
        <x:v>15534.524031</x:v>
      </x:c>
      <x:c r="AD12" s="10" t="n">
        <x:v>15913.01972</x:v>
      </x:c>
      <x:c r="AE12" s="10" t="n">
        <x:f>IF(A12=B12,0,AVERAGE(E12:Q12))</x:f>
        <x:v>3950.0856332307694</x:v>
      </x:c>
      <x:c r="AF12" s="10" t="n">
        <x:f>IF(A12=B12,0,AVERAGE(R12:AD12))</x:f>
        <x:v>8082.635505230769</x:v>
      </x:c>
      <x:c r="AG12" s="10" t="n">
        <x:f>AE12+AF12</x:f>
        <x:v>12032.721138461538</x:v>
      </x:c>
    </x:row>
    <x:row r="13">
      <x:c r="A13" t="str">
        <x:v>AU</x:v>
      </x:c>
      <x:c r="B13" t="str">
        <x:v>TR</x:v>
      </x:c>
      <x:c r="C13" t="str">
        <x:v>Australia</x:v>
      </x:c>
      <x:c r="D13" t="str">
        <x:v>Türkiye, Republic of</x:v>
      </x:c>
      <x:c r="E13" s="10" t="n">
        <x:v>170.89881</x:v>
      </x:c>
      <x:c r="F13" s="10" t="n">
        <x:v>154.342839</x:v>
      </x:c>
      <x:c r="G13" s="10" t="n">
        <x:v>161.032298</x:v>
      </x:c>
      <x:c r="H13" s="10" t="n">
        <x:v>175.410414</x:v>
      </x:c>
      <x:c r="I13" s="10" t="n">
        <x:v>219.362984</x:v>
      </x:c>
      <x:c r="J13" s="10" t="n">
        <x:v>258.828299</x:v>
      </x:c>
      <x:c r="K13" s="10" t="n">
        <x:v>308.789431</x:v>
      </x:c>
      <x:c r="L13" s="10" t="n">
        <x:v>484.067535</x:v>
      </x:c>
      <x:c r="M13" s="10" t="n">
        <x:v>802.13513</x:v>
      </x:c>
      <x:c r="N13" s="10" t="n">
        <x:v>237.125845</x:v>
      </x:c>
      <x:c r="O13" s="10" t="n">
        <x:v>427.91791</x:v>
      </x:c>
      <x:c r="P13" s="10" t="n">
        <x:v>579.98696</x:v>
      </x:c>
      <x:c r="Q13" s="10" t="n">
        <x:v>674.544951</x:v>
      </x:c>
      <x:c r="R13" s="10" t="n">
        <x:v>88.09302</x:v>
      </x:c>
      <x:c r="S13" s="10" t="n">
        <x:v>94.465666</x:v>
      </x:c>
      <x:c r="T13" s="10" t="n">
        <x:v>117.017581</x:v>
      </x:c>
      <x:c r="U13" s="10" t="n">
        <x:v>161.694681</x:v>
      </x:c>
      <x:c r="V13" s="10" t="n">
        <x:v>255.508831</x:v>
      </x:c>
      <x:c r="W13" s="10" t="n">
        <x:v>283.771681</x:v>
      </x:c>
      <x:c r="X13" s="10" t="n">
        <x:v>312.08978</x:v>
      </x:c>
      <x:c r="Y13" s="10" t="n">
        <x:v>349.52613</x:v>
      </x:c>
      <x:c r="Z13" s="10" t="n">
        <x:v>424.167113</x:v>
      </x:c>
      <x:c r="AA13" s="10" t="n">
        <x:v>387.121216</x:v>
      </x:c>
      <x:c r="AB13" s="10" t="n">
        <x:v>475.427882</x:v>
      </x:c>
      <x:c r="AC13" s="10" t="n">
        <x:v>506.958967</x:v>
      </x:c>
      <x:c r="AD13" s="10" t="n">
        <x:v>574.825153</x:v>
      </x:c>
      <x:c r="AE13" s="10" t="n">
        <x:f>IF(A13=B13,0,AVERAGE(E13:Q13))</x:f>
        <x:v>358.0341081538462</x:v>
      </x:c>
      <x:c r="AF13" s="10" t="n">
        <x:f>IF(A13=B13,0,AVERAGE(R13:AD13))</x:f>
        <x:v>310.05136161538456</x:v>
      </x:c>
      <x:c r="AG13" s="10" t="n">
        <x:f>AE13+AF13</x:f>
        <x:v>668.0854697692307</x:v>
      </x:c>
    </x:row>
    <x:row r="14">
      <x:c r="A14" t="str">
        <x:v>AU</x:v>
      </x:c>
      <x:c r="B14" t="str">
        <x:v>US</x:v>
      </x:c>
      <x:c r="C14" t="str">
        <x:v>Australia</x:v>
      </x:c>
      <x:c r="D14" t="str">
        <x:v>United States</x:v>
      </x:c>
      <x:c r="E14" s="10" t="n">
        <x:v>6249.117974</x:v>
      </x:c>
      <x:c r="F14" s="10" t="n">
        <x:v>6125.992194</x:v>
      </x:c>
      <x:c r="G14" s="10" t="n">
        <x:v>6247.879</x:v>
      </x:c>
      <x:c r="H14" s="10" t="n">
        <x:v>6141.222526</x:v>
      </x:c>
      <x:c r="I14" s="10" t="n">
        <x:v>6994.965435</x:v>
      </x:c>
      <x:c r="J14" s="10" t="n">
        <x:v>7052.630693</x:v>
      </x:c>
      <x:c r="K14" s="10" t="n">
        <x:v>7547.168307</x:v>
      </x:c>
      <x:c r="L14" s="10" t="n">
        <x:v>8514.260758</x:v>
      </x:c>
      <x:c r="M14" s="10" t="n">
        <x:v>10290.10269</x:v>
      </x:c>
      <x:c r="N14" s="10" t="n">
        <x:v>7599.798606</x:v>
      </x:c>
      <x:c r="O14" s="10" t="n">
        <x:v>8463.856172</x:v>
      </x:c>
      <x:c r="P14" s="10" t="n">
        <x:v>10133.714219</x:v>
      </x:c>
      <x:c r="Q14" s="10" t="n">
        <x:v>9724.860598</x:v>
      </x:c>
      <x:c r="R14" s="10" t="n">
        <x:v>14355.647035</x:v>
      </x:c>
      <x:c r="S14" s="10" t="n">
        <x:v>11822.868922</x:v>
      </x:c>
      <x:c r="T14" s="10" t="n">
        <x:v>13514.421522</x:v>
      </x:c>
      <x:c r="U14" s="10" t="n">
        <x:v>14363.985142</x:v>
      </x:c>
      <x:c r="V14" s="10" t="n">
        <x:v>16229.10062</x:v>
      </x:c>
      <x:c r="W14" s="10" t="n">
        <x:v>17543.280749</x:v>
      </x:c>
      <x:c r="X14" s="10" t="n">
        <x:v>19916.014195</x:v>
      </x:c>
      <x:c r="Y14" s="10" t="n">
        <x:v>21452.910538</x:v>
      </x:c>
      <x:c r="Z14" s="10" t="n">
        <x:v>24424.448463</x:v>
      </x:c>
      <x:c r="AA14" s="10" t="n">
        <x:v>18980.070452</x:v>
      </x:c>
      <x:c r="AB14" s="10" t="n">
        <x:v>22744.041447</x:v>
      </x:c>
      <x:c r="AC14" s="10" t="n">
        <x:v>28431.482501</x:v>
      </x:c>
      <x:c r="AD14" s="10" t="n">
        <x:v>31217.319147</x:v>
      </x:c>
      <x:c r="AE14" s="10" t="n">
        <x:f>IF(A14=B14,0,AVERAGE(E14:Q14))</x:f>
        <x:v>7775.813013230769</x:v>
      </x:c>
      <x:c r="AF14" s="10" t="n">
        <x:f>IF(A14=B14,0,AVERAGE(R14:AD14))</x:f>
        <x:v>19615.045441</x:v>
      </x:c>
      <x:c r="AG14" s="10" t="n">
        <x:f>AE14+AF14</x:f>
        <x:v>27390.858454230765</x:v>
      </x:c>
    </x:row>
    <x:row r="15">
      <x:c r="A15" t="str">
        <x:v>AU</x:v>
      </x:c>
      <x:c r="B15" t="str">
        <x:v>ZA</x:v>
      </x:c>
      <x:c r="C15" t="str">
        <x:v>Australia</x:v>
      </x:c>
      <x:c r="D15" t="str">
        <x:v>South Africa</x:v>
      </x:c>
      <x:c r="E15" s="10" t="n">
        <x:v>729.184664</x:v>
      </x:c>
      <x:c r="F15" s="10" t="n">
        <x:v>672.160875</x:v>
      </x:c>
      <x:c r="G15" s="10" t="n">
        <x:v>708.533054</x:v>
      </x:c>
      <x:c r="H15" s="10" t="n">
        <x:v>863.011662</x:v>
      </x:c>
      <x:c r="I15" s="10" t="n">
        <x:v>1178.202171</x:v>
      </x:c>
      <x:c r="J15" s="10" t="n">
        <x:v>1434.593872</x:v>
      </x:c>
      <x:c r="K15" s="10" t="n">
        <x:v>1743.73742</x:v>
      </x:c>
      <x:c r="L15" s="10" t="n">
        <x:v>2108.228467</x:v>
      </x:c>
      <x:c r="M15" s="10" t="n">
        <x:v>2058.270896</x:v>
      </x:c>
      <x:c r="N15" s="10" t="n">
        <x:v>1191.926317</x:v>
      </x:c>
      <x:c r="O15" s="10" t="n">
        <x:v>1655.517224</x:v>
      </x:c>
      <x:c r="P15" s="10" t="n">
        <x:v>1691.309537</x:v>
      </x:c>
      <x:c r="Q15" s="10" t="n">
        <x:v>1576.722548</x:v>
      </x:c>
      <x:c r="R15" s="10" t="n">
        <x:v>521.145682</x:v>
      </x:c>
      <x:c r="S15" s="10" t="n">
        <x:v>472.496001</x:v>
      </x:c>
      <x:c r="T15" s="10" t="n">
        <x:v>558.338203</x:v>
      </x:c>
      <x:c r="U15" s="10" t="n">
        <x:v>790.661363</x:v>
      </x:c>
      <x:c r="V15" s="10" t="n">
        <x:v>975.56718</x:v>
      </x:c>
      <x:c r="W15" s="10" t="n">
        <x:v>1238.651009</x:v>
      </x:c>
      <x:c r="X15" s="10" t="n">
        <x:v>1256.019355</x:v>
      </x:c>
      <x:c r="Y15" s="10" t="n">
        <x:v>1204.582967</x:v>
      </x:c>
      <x:c r="Z15" s="10" t="n">
        <x:v>1435.165502</x:v>
      </x:c>
      <x:c r="AA15" s="10" t="n">
        <x:v>772.151886</x:v>
      </x:c>
      <x:c r="AB15" s="10" t="n">
        <x:v>1077.466016</x:v>
      </x:c>
      <x:c r="AC15" s="10" t="n">
        <x:v>921.057978</x:v>
      </x:c>
      <x:c r="AD15" s="10" t="n">
        <x:v>958.963678</x:v>
      </x:c>
      <x:c r="AE15" s="10" t="n">
        <x:f>IF(A15=B15,0,AVERAGE(E15:Q15))</x:f>
        <x:v>1354.7229774615384</x:v>
      </x:c>
      <x:c r="AF15" s="10" t="n">
        <x:f>IF(A15=B15,0,AVERAGE(R15:AD15))</x:f>
        <x:v>937.0974476923077</x:v>
      </x:c>
      <x:c r="AG15" s="10" t="n">
        <x:f>AE15+AF15</x:f>
        <x:v>2291.8204251538464</x:v>
      </x:c>
    </x:row>
    <x:row r="16">
      <x:c r="A16" t="str">
        <x:v>BR</x:v>
      </x:c>
      <x:c r="B16" t="str">
        <x:v>AU</x:v>
      </x:c>
      <x:c r="C16" t="str">
        <x:v>Brazil</x:v>
      </x:c>
      <x:c r="D16" t="str">
        <x:v>Australia</x:v>
      </x:c>
      <x:c r="E16" s="10" t="n">
        <x:v>340.910829</x:v>
      </x:c>
      <x:c r="F16" s="10" t="n">
        <x:v>247.319</x:v>
      </x:c>
      <x:c r="G16" s="10" t="n">
        <x:v>253.701375</x:v>
      </x:c>
      <x:c r="H16" s="10" t="n">
        <x:v>304.58515</x:v>
      </x:c>
      <x:c r="I16" s="10" t="n">
        <x:v>368.181094</x:v>
      </x:c>
      <x:c r="J16" s="10" t="n">
        <x:v>462.441656</x:v>
      </x:c>
      <x:c r="K16" s="10" t="n">
        <x:v>509.440599</x:v>
      </x:c>
      <x:c r="L16" s="10" t="n">
        <x:v>614.173639</x:v>
      </x:c>
      <x:c r="M16" s="10" t="n">
        <x:v>1252.853193</x:v>
      </x:c>
      <x:c r="N16" s="10" t="n">
        <x:v>477.726705</x:v>
      </x:c>
      <x:c r="O16" s="10" t="n">
        <x:v>587.105076</x:v>
      </x:c>
      <x:c r="P16" s="10" t="n">
        <x:v>803.834271</x:v>
      </x:c>
      <x:c r="Q16" s="10" t="n">
        <x:v>504.660764</x:v>
      </x:c>
      <x:c r="R16" s="10" t="n">
        <x:v>315.100469</x:v>
      </x:c>
      <x:c r="S16" s="10" t="n">
        <x:v>281.066419</x:v>
      </x:c>
      <x:c r="T16" s="10" t="n">
        <x:v>225.358179</x:v>
      </x:c>
      <x:c r="U16" s="10" t="n">
        <x:v>310.163235</x:v>
      </x:c>
      <x:c r="V16" s="10" t="n">
        <x:v>396.076267</x:v>
      </x:c>
      <x:c r="W16" s="10" t="n">
        <x:v>665.967116</x:v>
      </x:c>
      <x:c r="X16" s="10" t="n">
        <x:v>782.033203</x:v>
      </x:c>
      <x:c r="Y16" s="10" t="n">
        <x:v>822.529464</x:v>
      </x:c>
      <x:c r="Z16" s="10" t="n">
        <x:v>1303.553909</x:v>
      </x:c>
      <x:c r="AA16" s="10" t="n">
        <x:v>870.208403</x:v>
      </x:c>
      <x:c r="AB16" s="10" t="n">
        <x:v>1434.922839</x:v>
      </x:c>
      <x:c r="AC16" s="10" t="n">
        <x:v>2075.228518</x:v>
      </x:c>
      <x:c r="AD16" s="10" t="n">
        <x:v>1365.251993</x:v>
      </x:c>
      <x:c r="AE16" s="10" t="n">
        <x:f>IF(A16=B16,0,AVERAGE(E16:Q16))</x:f>
        <x:v>517.4564116153846</x:v>
      </x:c>
      <x:c r="AF16" s="10" t="n">
        <x:f>IF(A16=B16,0,AVERAGE(R16:AD16))</x:f>
        <x:v>834.420001076923</x:v>
      </x:c>
      <x:c r="AG16" s="10" t="n">
        <x:f>AE16+AF16</x:f>
        <x:v>1351.8764126923074</x:v>
      </x:c>
    </x:row>
    <x:row r="17">
      <x:c r="A17" t="str">
        <x:v>BR</x:v>
      </x:c>
      <x:c r="B17" t="str">
        <x:v>BR</x:v>
      </x:c>
      <x:c r="C17" t="str">
        <x:v>Brazil</x:v>
      </x:c>
      <x:c r="D17" t="str">
        <x:v>Brazil</x:v>
      </x:c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  <x:c r="AE17" s="10" t="n">
        <x:f>IF(A17=B17,0,AVERAGE(E17:Q17))</x:f>
        <x:v>0</x:v>
      </x:c>
      <x:c r="AF17" s="10" t="n">
        <x:f>IF(A17=B17,0,AVERAGE(R17:AD17))</x:f>
        <x:v>0</x:v>
      </x:c>
      <x:c r="AG17" s="10" t="n">
        <x:f>AE17+AF17</x:f>
        <x:v>0</x:v>
      </x:c>
    </x:row>
    <x:row r="18">
      <x:c r="A18" t="str">
        <x:v>BR</x:v>
      </x:c>
      <x:c r="B18" t="str">
        <x:v>CA</x:v>
      </x:c>
      <x:c r="C18" t="str">
        <x:v>Brazil</x:v>
      </x:c>
      <x:c r="D18" t="str">
        <x:v>Canada</x:v>
      </x:c>
      <x:c r="E18" s="10" t="n">
        <x:v>565.604869</x:v>
      </x:c>
      <x:c r="F18" s="10" t="n">
        <x:v>555.34</x:v>
      </x:c>
      <x:c r="G18" s="10" t="n">
        <x:v>781.53997</x:v>
      </x:c>
      <x:c r="H18" s="10" t="n">
        <x:v>977.536232</x:v>
      </x:c>
      <x:c r="I18" s="10" t="n">
        <x:v>1199.321945</x:v>
      </x:c>
      <x:c r="J18" s="10" t="n">
        <x:v>1944.010772</x:v>
      </x:c>
      <x:c r="K18" s="10" t="n">
        <x:v>2275.323387</x:v>
      </x:c>
      <x:c r="L18" s="10" t="n">
        <x:v>2361.716392</x:v>
      </x:c>
      <x:c r="M18" s="10" t="n">
        <x:v>1866.170747</x:v>
      </x:c>
      <x:c r="N18" s="10" t="n">
        <x:v>1726.009239</x:v>
      </x:c>
      <x:c r="O18" s="10" t="n">
        <x:v>2321.096157</x:v>
      </x:c>
      <x:c r="P18" s="10" t="n">
        <x:v>3129.54594</x:v>
      </x:c>
      <x:c r="Q18" s="10" t="n">
        <x:v>3079.926642</x:v>
      </x:c>
      <x:c r="R18" s="10" t="n">
        <x:v>1150.771284</x:v>
      </x:c>
      <x:c r="S18" s="10" t="n">
        <x:v>982.17586</x:v>
      </x:c>
      <x:c r="T18" s="10" t="n">
        <x:v>783.878264</x:v>
      </x:c>
      <x:c r="U18" s="10" t="n">
        <x:v>794.459341</x:v>
      </x:c>
      <x:c r="V18" s="10" t="n">
        <x:v>918.246586</x:v>
      </x:c>
      <x:c r="W18" s="10" t="n">
        <x:v>1080.724246</x:v>
      </x:c>
      <x:c r="X18" s="10" t="n">
        <x:v>1265.044045</x:v>
      </x:c>
      <x:c r="Y18" s="10" t="n">
        <x:v>1810.930477</x:v>
      </x:c>
      <x:c r="Z18" s="10" t="n">
        <x:v>3401.975431</x:v>
      </x:c>
      <x:c r="AA18" s="10" t="n">
        <x:v>1696.632828</x:v>
      </x:c>
      <x:c r="AB18" s="10" t="n">
        <x:v>2875.550131</x:v>
      </x:c>
      <x:c r="AC18" s="10" t="n">
        <x:v>3763.508644</x:v>
      </x:c>
      <x:c r="AD18" s="10" t="n">
        <x:v>3261.762385</x:v>
      </x:c>
      <x:c r="AE18" s="10" t="n">
        <x:f>IF(A18=B18,0,AVERAGE(E18:Q18))</x:f>
        <x:v>1752.5494070769232</x:v>
      </x:c>
      <x:c r="AF18" s="10" t="n">
        <x:f>IF(A18=B18,0,AVERAGE(R18:AD18))</x:f>
        <x:v>1829.6661170769232</x:v>
      </x:c>
      <x:c r="AG18" s="10" t="n">
        <x:f>AE18+AF18</x:f>
        <x:v>3582.2155241538467</x:v>
      </x:c>
    </x:row>
    <x:row r="19">
      <x:c r="A19" t="str">
        <x:v>BR</x:v>
      </x:c>
      <x:c r="B19" t="str">
        <x:v>CH</x:v>
      </x:c>
      <x:c r="C19" t="str">
        <x:v>Brazil</x:v>
      </x:c>
      <x:c r="D19" t="str">
        <x:v>Switzerland</x:v>
      </x:c>
      <x:c r="E19" s="10" t="n">
        <x:v>692.044008</x:v>
      </x:c>
      <x:c r="F19" s="10" t="n">
        <x:v>412.812</x:v>
      </x:c>
      <x:c r="G19" s="10" t="n">
        <x:v>447</x:v>
      </x:c>
      <x:c r="H19" s="10" t="n">
        <x:v>327.249956</x:v>
      </x:c>
      <x:c r="I19" s="10" t="n">
        <x:v>348.499115</x:v>
      </x:c>
      <x:c r="J19" s="10" t="n">
        <x:v>534.180219</x:v>
      </x:c>
      <x:c r="K19" s="10" t="n">
        <x:v>845.858831</x:v>
      </x:c>
      <x:c r="L19" s="10" t="n">
        <x:v>1156.127146</x:v>
      </x:c>
      <x:c r="M19" s="10" t="n">
        <x:v>1460.820884</x:v>
      </x:c>
      <x:c r="N19" s="10" t="n">
        <x:v>2271.530285</x:v>
      </x:c>
      <x:c r="O19" s="10" t="n">
        <x:v>1477.208162</x:v>
      </x:c>
      <x:c r="P19" s="10" t="n">
        <x:v>1647.170939</x:v>
      </x:c>
      <x:c r="Q19" s="10" t="n">
        <x:v>1708.002879</x:v>
      </x:c>
      <x:c r="R19" s="10" t="n">
        <x:v>1176.646146</x:v>
      </x:c>
      <x:c r="S19" s="10" t="n">
        <x:v>1063.99726</x:v>
      </x:c>
      <x:c r="T19" s="10" t="n">
        <x:v>952.18104</x:v>
      </x:c>
      <x:c r="U19" s="10" t="n">
        <x:v>997.353953</x:v>
      </x:c>
      <x:c r="V19" s="10" t="n">
        <x:v>1143.074814</x:v>
      </x:c>
      <x:c r="W19" s="10" t="n">
        <x:v>1292.204026</x:v>
      </x:c>
      <x:c r="X19" s="10" t="n">
        <x:v>1411.224743</x:v>
      </x:c>
      <x:c r="Y19" s="10" t="n">
        <x:v>2337.593537</x:v>
      </x:c>
      <x:c r="Z19" s="10" t="n">
        <x:v>2393.502876</x:v>
      </x:c>
      <x:c r="AA19" s="10" t="n">
        <x:v>2142.105304</x:v>
      </x:c>
      <x:c r="AB19" s="10" t="n">
        <x:v>3044.239567</x:v>
      </x:c>
      <x:c r="AC19" s="10" t="n">
        <x:v>3018.79419</x:v>
      </x:c>
      <x:c r="AD19" s="10" t="n">
        <x:v>2949.982532</x:v>
      </x:c>
      <x:c r="AE19" s="10" t="n">
        <x:f>IF(A19=B19,0,AVERAGE(E19:Q19))</x:f>
        <x:v>1025.269571076923</x:v>
      </x:c>
      <x:c r="AF19" s="10" t="n">
        <x:f>IF(A19=B19,0,AVERAGE(R19:AD19))</x:f>
        <x:v>1840.2230760000004</x:v>
      </x:c>
      <x:c r="AG19" s="10" t="n">
        <x:f>AE19+AF19</x:f>
        <x:v>2865.4926470769233</x:v>
      </x:c>
    </x:row>
    <x:row r="20">
      <x:c r="A20" t="str">
        <x:v>BR</x:v>
      </x:c>
      <x:c r="B20" t="str">
        <x:v>CN</x:v>
      </x:c>
      <x:c r="C20" t="str">
        <x:v>Brazil</x:v>
      </x:c>
      <x:c r="D20" t="str">
        <x:v>China, People's Republic of</x:v>
      </x:c>
      <x:c r="E20" s="10" t="n">
        <x:v>1085.223878</x:v>
      </x:c>
      <x:c r="F20" s="10" t="n">
        <x:v>1902.094</x:v>
      </x:c>
      <x:c r="G20" s="10" t="n">
        <x:v>2520.457098</x:v>
      </x:c>
      <x:c r="H20" s="10" t="n">
        <x:v>4532.559799</x:v>
      </x:c>
      <x:c r="I20" s="10" t="n">
        <x:v>5439.956312</x:v>
      </x:c>
      <x:c r="J20" s="10" t="n">
        <x:v>6833.668267</x:v>
      </x:c>
      <x:c r="K20" s="10" t="n">
        <x:v>8399.521068</x:v>
      </x:c>
      <x:c r="L20" s="10" t="n">
        <x:v>10748.813793</x:v>
      </x:c>
      <x:c r="M20" s="10" t="n">
        <x:v>16403.038989</x:v>
      </x:c>
      <x:c r="N20" s="10" t="n">
        <x:v>18797.828368</x:v>
      </x:c>
      <x:c r="O20" s="10" t="n">
        <x:v>30785.906442</x:v>
      </x:c>
      <x:c r="P20" s="10" t="n">
        <x:v>44314.595336</x:v>
      </x:c>
      <x:c r="Q20" s="10" t="n">
        <x:v>41227.540253</x:v>
      </x:c>
      <x:c r="R20" s="10" t="n">
        <x:v>1295.048813</x:v>
      </x:c>
      <x:c r="S20" s="10" t="n">
        <x:v>1407.77964</x:v>
      </x:c>
      <x:c r="T20" s="10" t="n">
        <x:v>1647.331548</x:v>
      </x:c>
      <x:c r="U20" s="10" t="n">
        <x:v>2276.493075</x:v>
      </x:c>
      <x:c r="V20" s="10" t="n">
        <x:v>3932.495093</x:v>
      </x:c>
      <x:c r="W20" s="10" t="n">
        <x:v>5674.457319</x:v>
      </x:c>
      <x:c r="X20" s="10" t="n">
        <x:v>8468.441079</x:v>
      </x:c>
      <x:c r="Y20" s="10" t="n">
        <x:v>13374.826477</x:v>
      </x:c>
      <x:c r="Z20" s="10" t="n">
        <x:v>21241.654631</x:v>
      </x:c>
      <x:c r="AA20" s="10" t="n">
        <x:v>16839.292158</x:v>
      </x:c>
      <x:c r="AB20" s="10" t="n">
        <x:v>27122.65341</x:v>
      </x:c>
      <x:c r="AC20" s="10" t="n">
        <x:v>34753.907452</x:v>
      </x:c>
      <x:c r="AD20" s="10" t="n">
        <x:v>36300.826685</x:v>
      </x:c>
      <x:c r="AE20" s="10" t="n">
        <x:f>IF(A20=B20,0,AVERAGE(E20:Q20))</x:f>
        <x:v>14845.477200230767</x:v>
      </x:c>
      <x:c r="AF20" s="10" t="n">
        <x:f>IF(A20=B20,0,AVERAGE(R20:AD20))</x:f>
        <x:v>13410.400567692308</x:v>
      </x:c>
      <x:c r="AG20" s="10" t="n">
        <x:f>AE20+AF20</x:f>
        <x:v>28255.877767923077</x:v>
      </x:c>
    </x:row>
    <x:row r="21">
      <x:c r="A21" t="str">
        <x:v>BR</x:v>
      </x:c>
      <x:c r="B21" t="str">
        <x:v>EA</x:v>
      </x:c>
      <x:c r="C21" t="str">
        <x:v>Brazil</x:v>
      </x:c>
      <x:c r="D21" t="str">
        <x:v>Euro Area (EA)</x:v>
      </x:c>
      <x:c r="E21" s="10" t="n">
        <x:v>13051.558667</x:v>
      </x:c>
      <x:c r="F21" s="10" t="n">
        <x:v>13637.12291</x:v>
      </x:c>
      <x:c r="G21" s="10" t="n">
        <x:v>13224.300388</x:v>
      </x:c>
      <x:c r="H21" s="10" t="n">
        <x:v>16060.56854</x:v>
      </x:c>
      <x:c r="I21" s="10" t="n">
        <x:v>21101.971241</x:v>
      </x:c>
      <x:c r="J21" s="10" t="n">
        <x:v>22868.266381</x:v>
      </x:c>
      <x:c r="K21" s="10" t="n">
        <x:v>26603.920184</x:v>
      </x:c>
      <x:c r="L21" s="10" t="n">
        <x:v>35318.474866</x:v>
      </x:c>
      <x:c r="M21" s="10" t="n">
        <x:v>40838.648448</x:v>
      </x:c>
      <x:c r="N21" s="10" t="n">
        <x:v>28892.625838</x:v>
      </x:c>
      <x:c r="O21" s="10" t="n">
        <x:v>36954.367554</x:v>
      </x:c>
      <x:c r="P21" s="10" t="n">
        <x:v>45670.773212</x:v>
      </x:c>
      <x:c r="Q21" s="10" t="n">
        <x:v>42401.11802</x:v>
      </x:c>
      <x:c r="R21" s="10" t="n">
        <x:v>12824.316281</x:v>
      </x:c>
      <x:c r="S21" s="10" t="n">
        <x:v>13913.629821</x:v>
      </x:c>
      <x:c r="T21" s="10" t="n">
        <x:v>11769.953017</x:v>
      </x:c>
      <x:c r="U21" s="10" t="n">
        <x:v>11382.898477</x:v>
      </x:c>
      <x:c r="V21" s="10" t="n">
        <x:v>13971.914085</x:v>
      </x:c>
      <x:c r="W21" s="10" t="n">
        <x:v>16070.286625</x:v>
      </x:c>
      <x:c r="X21" s="10" t="n">
        <x:v>17966.930311</x:v>
      </x:c>
      <x:c r="Y21" s="10" t="n">
        <x:v>23651.381663</x:v>
      </x:c>
      <x:c r="Z21" s="10" t="n">
        <x:v>32044.679886</x:v>
      </x:c>
      <x:c r="AA21" s="10" t="n">
        <x:v>25496.226149</x:v>
      </x:c>
      <x:c r="AB21" s="10" t="n">
        <x:v>34371.164017</x:v>
      </x:c>
      <x:c r="AC21" s="10" t="n">
        <x:v>40897.715251</x:v>
      </x:c>
      <x:c r="AD21" s="10" t="n">
        <x:v>41985.386182</x:v>
      </x:c>
      <x:c r="AE21" s="10" t="n">
        <x:f>IF(A21=B21,0,AVERAGE(E21:Q21))</x:f>
        <x:v>27432.593557615382</x:v>
      </x:c>
      <x:c r="AF21" s="10" t="n">
        <x:f>IF(A21=B21,0,AVERAGE(R21:AD21))</x:f>
        <x:v>22795.883212692304</x:v>
      </x:c>
      <x:c r="AG21" s="10" t="n">
        <x:f>AE21+AF21</x:f>
        <x:v>50228.47677030769</x:v>
      </x:c>
    </x:row>
    <x:row r="22">
      <x:c r="A22" t="str">
        <x:v>BR</x:v>
      </x:c>
      <x:c r="B22" t="str">
        <x:v>UK</x:v>
      </x:c>
      <x:c r="C22" t="str">
        <x:v>Brazil</x:v>
      </x:c>
      <x:c r="D22" t="str">
        <x:v>United Kingdom</x:v>
      </x:c>
      <x:c r="E22" s="10" t="n">
        <x:v>1498.417242</x:v>
      </x:c>
      <x:c r="F22" s="10" t="n">
        <x:v>1704.753</x:v>
      </x:c>
      <x:c r="G22" s="10" t="n">
        <x:v>1771.680245</x:v>
      </x:c>
      <x:c r="H22" s="10" t="n">
        <x:v>1898.787927</x:v>
      </x:c>
      <x:c r="I22" s="10" t="n">
        <x:v>2116.544678</x:v>
      </x:c>
      <x:c r="J22" s="10" t="n">
        <x:v>2591.421523</x:v>
      </x:c>
      <x:c r="K22" s="10" t="n">
        <x:v>2821.916508</x:v>
      </x:c>
      <x:c r="L22" s="10" t="n">
        <x:v>3301.105481</x:v>
      </x:c>
      <x:c r="M22" s="10" t="n">
        <x:v>3791.802355</x:v>
      </x:c>
      <x:c r="N22" s="10" t="n">
        <x:v>3585.476956</x:v>
      </x:c>
      <x:c r="O22" s="10" t="n">
        <x:v>4634.526237</x:v>
      </x:c>
      <x:c r="P22" s="10" t="n">
        <x:v>5229.808874</x:v>
      </x:c>
      <x:c r="Q22" s="10" t="n">
        <x:v>4519.433795</x:v>
      </x:c>
      <x:c r="R22" s="10" t="n">
        <x:v>1306.741689</x:v>
      </x:c>
      <x:c r="S22" s="10" t="n">
        <x:v>1309.030039</x:v>
      </x:c>
      <x:c r="T22" s="10" t="n">
        <x:v>1421.908964</x:v>
      </x:c>
      <x:c r="U22" s="10" t="n">
        <x:v>1274.551364</x:v>
      </x:c>
      <x:c r="V22" s="10" t="n">
        <x:v>1436.242555</x:v>
      </x:c>
      <x:c r="W22" s="10" t="n">
        <x:v>1458.226171</x:v>
      </x:c>
      <x:c r="X22" s="10" t="n">
        <x:v>1502.208252</x:v>
      </x:c>
      <x:c r="Y22" s="10" t="n">
        <x:v>2072.365413</x:v>
      </x:c>
      <x:c r="Z22" s="10" t="n">
        <x:v>2704.281608</x:v>
      </x:c>
      <x:c r="AA22" s="10" t="n">
        <x:v>2540.710711</x:v>
      </x:c>
      <x:c r="AB22" s="10" t="n">
        <x:v>3339.644311</x:v>
      </x:c>
      <x:c r="AC22" s="10" t="n">
        <x:v>3578.301834</x:v>
      </x:c>
      <x:c r="AD22" s="10" t="n">
        <x:v>3713.368865</x:v>
      </x:c>
      <x:c r="AE22" s="10" t="n">
        <x:f>IF(A22=B22,0,AVERAGE(E22:Q22))</x:f>
        <x:v>3035.8211400769233</x:v>
      </x:c>
      <x:c r="AF22" s="10" t="n">
        <x:f>IF(A22=B22,0,AVERAGE(R22:AD22))</x:f>
        <x:v>2127.506290461539</x:v>
      </x:c>
      <x:c r="AG22" s="10" t="n">
        <x:f>AE22+AF22</x:f>
        <x:v>5163.327430538462</x:v>
      </x:c>
    </x:row>
    <x:row r="23">
      <x:c r="A23" t="str">
        <x:v>BR</x:v>
      </x:c>
      <x:c r="B23" t="str">
        <x:v>JP</x:v>
      </x:c>
      <x:c r="C23" t="str">
        <x:v>Brazil</x:v>
      </x:c>
      <x:c r="D23" t="str">
        <x:v>Japan</x:v>
      </x:c>
      <x:c r="E23" s="10" t="n">
        <x:v>2472.374403</x:v>
      </x:c>
      <x:c r="F23" s="10" t="n">
        <x:v>1986.28</x:v>
      </x:c>
      <x:c r="G23" s="10" t="n">
        <x:v>2097.953829</x:v>
      </x:c>
      <x:c r="H23" s="10" t="n">
        <x:v>2310.545977</x:v>
      </x:c>
      <x:c r="I23" s="10" t="n">
        <x:v>2767.994878</x:v>
      </x:c>
      <x:c r="J23" s="10" t="n">
        <x:v>3476.10475</x:v>
      </x:c>
      <x:c r="K23" s="10" t="n">
        <x:v>3883.935727</x:v>
      </x:c>
      <x:c r="L23" s="10" t="n">
        <x:v>4321.33507</x:v>
      </x:c>
      <x:c r="M23" s="10" t="n">
        <x:v>6114.519602</x:v>
      </x:c>
      <x:c r="N23" s="10" t="n">
        <x:v>4307.287996</x:v>
      </x:c>
      <x:c r="O23" s="10" t="n">
        <x:v>7140.831782</x:v>
      </x:c>
      <x:c r="P23" s="10" t="n">
        <x:v>9473.09552</x:v>
      </x:c>
      <x:c r="Q23" s="10" t="n">
        <x:v>7955.713348</x:v>
      </x:c>
      <x:c r="R23" s="10" t="n">
        <x:v>3137.107147</x:v>
      </x:c>
      <x:c r="S23" s="10" t="n">
        <x:v>3247.658739</x:v>
      </x:c>
      <x:c r="T23" s="10" t="n">
        <x:v>2488.276454</x:v>
      </x:c>
      <x:c r="U23" s="10" t="n">
        <x:v>2671.831088</x:v>
      </x:c>
      <x:c r="V23" s="10" t="n">
        <x:v>3040.335483</x:v>
      </x:c>
      <x:c r="W23" s="10" t="n">
        <x:v>3611.536006</x:v>
      </x:c>
      <x:c r="X23" s="10" t="n">
        <x:v>4069.760899</x:v>
      </x:c>
      <x:c r="Y23" s="10" t="n">
        <x:v>4886.157512</x:v>
      </x:c>
      <x:c r="Z23" s="10" t="n">
        <x:v>7235.150884</x:v>
      </x:c>
      <x:c r="AA23" s="10" t="n">
        <x:v>5738.192292</x:v>
      </x:c>
      <x:c r="AB23" s="10" t="n">
        <x:v>7399.785845</x:v>
      </x:c>
      <x:c r="AC23" s="10" t="n">
        <x:v>8344.615515</x:v>
      </x:c>
      <x:c r="AD23" s="10" t="n">
        <x:v>8198.074102</x:v>
      </x:c>
      <x:c r="AE23" s="10" t="n">
        <x:f>IF(A23=B23,0,AVERAGE(E23:Q23))</x:f>
        <x:v>4485.228683230769</x:v>
      </x:c>
      <x:c r="AF23" s="10" t="n">
        <x:f>IF(A23=B23,0,AVERAGE(R23:AD23))</x:f>
        <x:v>4928.344766615384</x:v>
      </x:c>
      <x:c r="AG23" s="10" t="n">
        <x:f>AE23+AF23</x:f>
        <x:v>9413.573449846153</x:v>
      </x:c>
    </x:row>
    <x:row r="24">
      <x:c r="A24" t="str">
        <x:v>BR</x:v>
      </x:c>
      <x:c r="B24" t="str">
        <x:v>KR</x:v>
      </x:c>
      <x:c r="C24" t="str">
        <x:v>Brazil</x:v>
      </x:c>
      <x:c r="D24" t="str">
        <x:v>Korea, Republic of</x:v>
      </x:c>
      <x:c r="E24" s="10" t="n">
        <x:v>580.774822</x:v>
      </x:c>
      <x:c r="F24" s="10" t="n">
        <x:v>736.476</x:v>
      </x:c>
      <x:c r="G24" s="10" t="n">
        <x:v>852.419423</x:v>
      </x:c>
      <x:c r="H24" s="10" t="n">
        <x:v>1223.103889</x:v>
      </x:c>
      <x:c r="I24" s="10" t="n">
        <x:v>1429.297652</x:v>
      </x:c>
      <x:c r="J24" s="10" t="n">
        <x:v>1896.248544</x:v>
      </x:c>
      <x:c r="K24" s="10" t="n">
        <x:v>1961.976609</x:v>
      </x:c>
      <x:c r="L24" s="10" t="n">
        <x:v>2046.635981</x:v>
      </x:c>
      <x:c r="M24" s="10" t="n">
        <x:v>3118.567635</x:v>
      </x:c>
      <x:c r="N24" s="10" t="n">
        <x:v>2608.219621</x:v>
      </x:c>
      <x:c r="O24" s="10" t="n">
        <x:v>3760.122477</x:v>
      </x:c>
      <x:c r="P24" s="10" t="n">
        <x:v>4693.867506</x:v>
      </x:c>
      <x:c r="Q24" s="10" t="n">
        <x:v>4501.090479</x:v>
      </x:c>
      <x:c r="R24" s="10" t="n">
        <x:v>1515.23304</x:v>
      </x:c>
      <x:c r="S24" s="10" t="n">
        <x:v>1668.485581</x:v>
      </x:c>
      <x:c r="T24" s="10" t="n">
        <x:v>1130.583224</x:v>
      </x:c>
      <x:c r="U24" s="10" t="n">
        <x:v>1143.531291</x:v>
      </x:c>
      <x:c r="V24" s="10" t="n">
        <x:v>1833.445436</x:v>
      </x:c>
      <x:c r="W24" s="10" t="n">
        <x:v>2466.303974</x:v>
      </x:c>
      <x:c r="X24" s="10" t="n">
        <x:v>3292.837763</x:v>
      </x:c>
      <x:c r="Y24" s="10" t="n">
        <x:v>3594.526755</x:v>
      </x:c>
      <x:c r="Z24" s="10" t="n">
        <x:v>5735.32253</x:v>
      </x:c>
      <x:c r="AA24" s="10" t="n">
        <x:v>5030.860007</x:v>
      </x:c>
      <x:c r="AB24" s="10" t="n">
        <x:v>8926.075293</x:v>
      </x:c>
      <x:c r="AC24" s="10" t="n">
        <x:v>10702.432574</x:v>
      </x:c>
      <x:c r="AD24" s="10" t="n">
        <x:v>9640.795549</x:v>
      </x:c>
      <x:c r="AE24" s="10" t="n">
        <x:f>IF(A24=B24,0,AVERAGE(E24:Q24))</x:f>
        <x:v>2262.2154336923077</x:v>
      </x:c>
      <x:c r="AF24" s="10" t="n">
        <x:f>IF(A24=B24,0,AVERAGE(R24:AD24))</x:f>
        <x:v>4360.033309</x:v>
      </x:c>
      <x:c r="AG24" s="10" t="n">
        <x:f>AE24+AF24</x:f>
        <x:v>6622.248742692308</x:v>
      </x:c>
    </x:row>
    <x:row r="25">
      <x:c r="A25" t="str">
        <x:v>BR</x:v>
      </x:c>
      <x:c r="B25" t="str">
        <x:v>NO</x:v>
      </x:c>
      <x:c r="C25" t="str">
        <x:v>Brazil</x:v>
      </x:c>
      <x:c r="D25" t="str">
        <x:v>Norway</x:v>
      </x:c>
      <x:c r="E25" s="10" t="n">
        <x:v>244.295026</x:v>
      </x:c>
      <x:c r="F25" s="10" t="n">
        <x:v>213.03</x:v>
      </x:c>
      <x:c r="G25" s="10" t="n">
        <x:v>170.979174</x:v>
      </x:c>
      <x:c r="H25" s="10" t="n">
        <x:v>280.458512</x:v>
      </x:c>
      <x:c r="I25" s="10" t="n">
        <x:v>320.676644</x:v>
      </x:c>
      <x:c r="J25" s="10" t="n">
        <x:v>444.227418</x:v>
      </x:c>
      <x:c r="K25" s="10" t="n">
        <x:v>583.595785</x:v>
      </x:c>
      <x:c r="L25" s="10" t="n">
        <x:v>650.590588</x:v>
      </x:c>
      <x:c r="M25" s="10" t="n">
        <x:v>865.009845</x:v>
      </x:c>
      <x:c r="N25" s="10" t="n">
        <x:v>625.902012</x:v>
      </x:c>
      <x:c r="O25" s="10" t="n">
        <x:v>722.115018</x:v>
      </x:c>
      <x:c r="P25" s="10" t="n">
        <x:v>944.043831</x:v>
      </x:c>
      <x:c r="Q25" s="10" t="n">
        <x:v>865.238979</x:v>
      </x:c>
      <x:c r="R25" s="10" t="n">
        <x:v>220.04294</x:v>
      </x:c>
      <x:c r="S25" s="10" t="n">
        <x:v>240.76946</x:v>
      </x:c>
      <x:c r="T25" s="10" t="n">
        <x:v>227.306985</x:v>
      </x:c>
      <x:c r="U25" s="10" t="n">
        <x:v>280.985445</x:v>
      </x:c>
      <x:c r="V25" s="10" t="n">
        <x:v>360.971189</x:v>
      </x:c>
      <x:c r="W25" s="10" t="n">
        <x:v>312.132974</x:v>
      </x:c>
      <x:c r="X25" s="10" t="n">
        <x:v>369.437515</x:v>
      </x:c>
      <x:c r="Y25" s="10" t="n">
        <x:v>559.921508</x:v>
      </x:c>
      <x:c r="Z25" s="10" t="n">
        <x:v>670.618197</x:v>
      </x:c>
      <x:c r="AA25" s="10" t="n">
        <x:v>526.480925</x:v>
      </x:c>
      <x:c r="AB25" s="10" t="n">
        <x:v>726.813886</x:v>
      </x:c>
      <x:c r="AC25" s="10" t="n">
        <x:v>847.591339</x:v>
      </x:c>
      <x:c r="AD25" s="10" t="n">
        <x:v>922.398241</x:v>
      </x:c>
      <x:c r="AE25" s="10" t="n">
        <x:f>IF(A25=B25,0,AVERAGE(E25:Q25))</x:f>
        <x:v>533.0894486153845</x:v>
      </x:c>
      <x:c r="AF25" s="10" t="n">
        <x:f>IF(A25=B25,0,AVERAGE(R25:AD25))</x:f>
        <x:v>481.95927723076915</x:v>
      </x:c>
      <x:c r="AG25" s="10" t="n">
        <x:f>AE25+AF25</x:f>
        <x:v>1015.0487258461537</x:v>
      </x:c>
    </x:row>
    <x:row r="26">
      <x:c r="A26" t="str">
        <x:v>BR</x:v>
      </x:c>
      <x:c r="B26" t="str">
        <x:v>SG</x:v>
      </x:c>
      <x:c r="C26" t="str">
        <x:v>Brazil</x:v>
      </x:c>
      <x:c r="D26" t="str">
        <x:v>Singapore</x:v>
      </x:c>
      <x:c r="E26" s="10" t="n">
        <x:v>233.171976</x:v>
      </x:c>
      <x:c r="F26" s="10" t="n">
        <x:v>213.442</x:v>
      </x:c>
      <x:c r="G26" s="10" t="n">
        <x:v>469.316118</x:v>
      </x:c>
      <x:c r="H26" s="10" t="n">
        <x:v>337.710845</x:v>
      </x:c>
      <x:c r="I26" s="10" t="n">
        <x:v>571.239523</x:v>
      </x:c>
      <x:c r="J26" s="10" t="n">
        <x:v>844.127435</x:v>
      </x:c>
      <x:c r="K26" s="10" t="n">
        <x:v>943.20398</x:v>
      </x:c>
      <x:c r="L26" s="10" t="n">
        <x:v>1379.214077</x:v>
      </x:c>
      <x:c r="M26" s="10" t="n">
        <x:v>2107.579518</x:v>
      </x:c>
      <x:c r="N26" s="10" t="n">
        <x:v>1296.383741</x:v>
      </x:c>
      <x:c r="O26" s="10" t="n">
        <x:v>1309.266167</x:v>
      </x:c>
      <x:c r="P26" s="10" t="n">
        <x:v>2786.453034</x:v>
      </x:c>
      <x:c r="Q26" s="10" t="n">
        <x:v>2942.605467</x:v>
      </x:c>
      <x:c r="R26" s="10" t="n">
        <x:v>298.199134</x:v>
      </x:c>
      <x:c r="S26" s="10" t="n">
        <x:v>328.3827</x:v>
      </x:c>
      <x:c r="T26" s="10" t="n">
        <x:v>330.611701</x:v>
      </x:c>
      <x:c r="U26" s="10" t="n">
        <x:v>439.541606</x:v>
      </x:c>
      <x:c r="V26" s="10" t="n">
        <x:v>450.7648</x:v>
      </x:c>
      <x:c r="W26" s="10" t="n">
        <x:v>864.088963</x:v>
      </x:c>
      <x:c r="X26" s="10" t="n">
        <x:v>1259.357922</x:v>
      </x:c>
      <x:c r="Y26" s="10" t="n">
        <x:v>1281.420586</x:v>
      </x:c>
      <x:c r="Z26" s="10" t="n">
        <x:v>1849.360851</x:v>
      </x:c>
      <x:c r="AA26" s="10" t="n">
        <x:v>725.693783</x:v>
      </x:c>
      <x:c r="AB26" s="10" t="n">
        <x:v>896.035464</x:v>
      </x:c>
      <x:c r="AC26" s="10" t="n">
        <x:v>878.42409</x:v>
      </x:c>
      <x:c r="AD26" s="10" t="n">
        <x:v>912.619802</x:v>
      </x:c>
      <x:c r="AE26" s="10" t="n">
        <x:f>IF(A26=B26,0,AVERAGE(E26:Q26))</x:f>
        <x:v>1187.208760076923</x:v>
      </x:c>
      <x:c r="AF26" s="10" t="n">
        <x:f>IF(A26=B26,0,AVERAGE(R26:AD26))</x:f>
        <x:v>808.8078001538462</x:v>
      </x:c>
      <x:c r="AG26" s="10" t="n">
        <x:f>AE26+AF26</x:f>
        <x:v>1996.0165602307693</x:v>
      </x:c>
    </x:row>
    <x:row r="27">
      <x:c r="A27" t="str">
        <x:v>BR</x:v>
      </x:c>
      <x:c r="B27" t="str">
        <x:v>TR</x:v>
      </x:c>
      <x:c r="C27" t="str">
        <x:v>Brazil</x:v>
      </x:c>
      <x:c r="D27" t="str">
        <x:v>Türkiye, Republic of</x:v>
      </x:c>
      <x:c r="E27" s="10" t="n">
        <x:v>281.437756</x:v>
      </x:c>
      <x:c r="F27" s="10" t="n">
        <x:v>166.377</x:v>
      </x:c>
      <x:c r="G27" s="10" t="n">
        <x:v>205.036296</x:v>
      </x:c>
      <x:c r="H27" s="10" t="n">
        <x:v>336.877976</x:v>
      </x:c>
      <x:c r="I27" s="10" t="n">
        <x:v>453.211451</x:v>
      </x:c>
      <x:c r="J27" s="10" t="n">
        <x:v>559.055588</x:v>
      </x:c>
      <x:c r="K27" s="10" t="n">
        <x:v>639.155535</x:v>
      </x:c>
      <x:c r="L27" s="10" t="n">
        <x:v>693.36832</x:v>
      </x:c>
      <x:c r="M27" s="10" t="n">
        <x:v>816.090629</x:v>
      </x:c>
      <x:c r="N27" s="10" t="n">
        <x:v>597.436304</x:v>
      </x:c>
      <x:c r="O27" s="10" t="n">
        <x:v>1033.98191</x:v>
      </x:c>
      <x:c r="P27" s="10" t="n">
        <x:v>1459.870141</x:v>
      </x:c>
      <x:c r="Q27" s="10" t="n">
        <x:v>1207.133102</x:v>
      </x:c>
      <x:c r="R27" s="10" t="n">
        <x:v>47.208845</x:v>
      </x:c>
      <x:c r="S27" s="10" t="n">
        <x:v>93.770779</x:v>
      </x:c>
      <x:c r="T27" s="10" t="n">
        <x:v>67.189372</x:v>
      </x:c>
      <x:c r="U27" s="10" t="n">
        <x:v>61.531568</x:v>
      </x:c>
      <x:c r="V27" s="10" t="n">
        <x:v>81.013151</x:v>
      </x:c>
      <x:c r="W27" s="10" t="n">
        <x:v>114.725556</x:v>
      </x:c>
      <x:c r="X27" s="10" t="n">
        <x:v>170.005136</x:v>
      </x:c>
      <x:c r="Y27" s="10" t="n">
        <x:v>222.135312</x:v>
      </x:c>
      <x:c r="Z27" s="10" t="n">
        <x:v>357.755264</x:v>
      </x:c>
      <x:c r="AA27" s="10" t="n">
        <x:v>408.661208</x:v>
      </x:c>
      <x:c r="AB27" s="10" t="n">
        <x:v>695.699755</x:v>
      </x:c>
      <x:c r="AC27" s="10" t="n">
        <x:v>972.437897</x:v>
      </x:c>
      <x:c r="AD27" s="10" t="n">
        <x:v>1021.934515</x:v>
      </x:c>
      <x:c r="AE27" s="10" t="n">
        <x:f>IF(A27=B27,0,AVERAGE(E27:Q27))</x:f>
        <x:v>649.9255390769231</x:v>
      </x:c>
      <x:c r="AF27" s="10" t="n">
        <x:f>IF(A27=B27,0,AVERAGE(R27:AD27))</x:f>
        <x:v>331.8514121538461</x:v>
      </x:c>
      <x:c r="AG27" s="10" t="n">
        <x:f>AE27+AF27</x:f>
        <x:v>981.7769512307692</x:v>
      </x:c>
    </x:row>
    <x:row r="28">
      <x:c r="A28" t="str">
        <x:v>BR</x:v>
      </x:c>
      <x:c r="B28" t="str">
        <x:v>US</x:v>
      </x:c>
      <x:c r="C28" t="str">
        <x:v>Brazil</x:v>
      </x:c>
      <x:c r="D28" t="str">
        <x:v>United States</x:v>
      </x:c>
      <x:c r="E28" s="10" t="n">
        <x:v>13380.734491</x:v>
      </x:c>
      <x:c r="F28" s="10" t="n">
        <x:v>14379.13</x:v>
      </x:c>
      <x:c r="G28" s="10" t="n">
        <x:v>15535.239117</x:v>
      </x:c>
      <x:c r="H28" s="10" t="n">
        <x:v>16901.011317</x:v>
      </x:c>
      <x:c r="I28" s="10" t="n">
        <x:v>20341.725035</x:v>
      </x:c>
      <x:c r="J28" s="10" t="n">
        <x:v>22741.89057</x:v>
      </x:c>
      <x:c r="K28" s="10" t="n">
        <x:v>24680.376028</x:v>
      </x:c>
      <x:c r="L28" s="10" t="n">
        <x:v>25342.566935</x:v>
      </x:c>
      <x:c r="M28" s="10" t="n">
        <x:v>27734.718957</x:v>
      </x:c>
      <x:c r="N28" s="10" t="n">
        <x:v>15809.018244</x:v>
      </x:c>
      <x:c r="O28" s="10" t="n">
        <x:v>19466.06047</x:v>
      </x:c>
      <x:c r="P28" s="10" t="n">
        <x:v>25942.95281</x:v>
      </x:c>
      <x:c r="Q28" s="10" t="n">
        <x:v>26849.876493</x:v>
      </x:c>
      <x:c r="R28" s="10" t="n">
        <x:v>13782.52805</x:v>
      </x:c>
      <x:c r="S28" s="10" t="n">
        <x:v>13820.580131</x:v>
      </x:c>
      <x:c r="T28" s="10" t="n">
        <x:v>11064.545444</x:v>
      </x:c>
      <x:c r="U28" s="10" t="n">
        <x:v>10310.146707</x:v>
      </x:c>
      <x:c r="V28" s="10" t="n">
        <x:v>12210.175727</x:v>
      </x:c>
      <x:c r="W28" s="10" t="n">
        <x:v>13623.623767</x:v>
      </x:c>
      <x:c r="X28" s="10" t="n">
        <x:v>15747.495712</x:v>
      </x:c>
      <x:c r="Y28" s="10" t="n">
        <x:v>20035.223973</x:v>
      </x:c>
      <x:c r="Z28" s="10" t="n">
        <x:v>27391.963169</x:v>
      </x:c>
      <x:c r="AA28" s="10" t="n">
        <x:v>21528.120755</x:v>
      </x:c>
      <x:c r="AB28" s="10" t="n">
        <x:v>28899.717399</x:v>
      </x:c>
      <x:c r="AC28" s="10" t="n">
        <x:v>36274.695642</x:v>
      </x:c>
      <x:c r="AD28" s="10" t="n">
        <x:v>34549.395575</x:v>
      </x:c>
      <x:c r="AE28" s="10" t="n">
        <x:f>IF(A28=B28,0,AVERAGE(E28:Q28))</x:f>
        <x:v>20700.40772823077</x:v>
      </x:c>
      <x:c r="AF28" s="10" t="n">
        <x:f>IF(A28=B28,0,AVERAGE(R28:AD28))</x:f>
        <x:v>19941.400927000002</x:v>
      </x:c>
      <x:c r="AG28" s="10" t="n">
        <x:f>AE28+AF28</x:f>
        <x:v>40641.80865523077</x:v>
      </x:c>
    </x:row>
    <x:row r="29">
      <x:c r="A29" t="str">
        <x:v>BR</x:v>
      </x:c>
      <x:c r="B29" t="str">
        <x:v>ZA</x:v>
      </x:c>
      <x:c r="C29" t="str">
        <x:v>Brazil</x:v>
      </x:c>
      <x:c r="D29" t="str">
        <x:v>South Africa</x:v>
      </x:c>
      <x:c r="E29" s="10" t="n">
        <x:v>302.14183</x:v>
      </x:c>
      <x:c r="F29" s="10" t="n">
        <x:v>423.839</x:v>
      </x:c>
      <x:c r="G29" s="10" t="n">
        <x:v>477.683121</x:v>
      </x:c>
      <x:c r="H29" s="10" t="n">
        <x:v>733.178084</x:v>
      </x:c>
      <x:c r="I29" s="10" t="n">
        <x:v>1035.865511</x:v>
      </x:c>
      <x:c r="J29" s="10" t="n">
        <x:v>1369.391708</x:v>
      </x:c>
      <x:c r="K29" s="10" t="n">
        <x:v>1459.331727</x:v>
      </x:c>
      <x:c r="L29" s="10" t="n">
        <x:v>1757.8579</x:v>
      </x:c>
      <x:c r="M29" s="10" t="n">
        <x:v>1754.848262</x:v>
      </x:c>
      <x:c r="N29" s="10" t="n">
        <x:v>1265.38519</x:v>
      </x:c>
      <x:c r="O29" s="10" t="n">
        <x:v>1309.974026</x:v>
      </x:c>
      <x:c r="P29" s="10" t="n">
        <x:v>1680.649053</x:v>
      </x:c>
      <x:c r="Q29" s="10" t="n">
        <x:v>1765.423665</x:v>
      </x:c>
      <x:c r="R29" s="10" t="n">
        <x:v>241.233318</x:v>
      </x:c>
      <x:c r="S29" s="10" t="n">
        <x:v>303.100641</x:v>
      </x:c>
      <x:c r="T29" s="10" t="n">
        <x:v>192.567034</x:v>
      </x:c>
      <x:c r="U29" s="10" t="n">
        <x:v>214.335089</x:v>
      </x:c>
      <x:c r="V29" s="10" t="n">
        <x:v>284.184341</x:v>
      </x:c>
      <x:c r="W29" s="10" t="n">
        <x:v>362.030132</x:v>
      </x:c>
      <x:c r="X29" s="10" t="n">
        <x:v>460.948883</x:v>
      </x:c>
      <x:c r="Y29" s="10" t="n">
        <x:v>553.648605</x:v>
      </x:c>
      <x:c r="Z29" s="10" t="n">
        <x:v>819.307297</x:v>
      </x:c>
      <x:c r="AA29" s="10" t="n">
        <x:v>461.896797</x:v>
      </x:c>
      <x:c r="AB29" s="10" t="n">
        <x:v>798.528112</x:v>
      </x:c>
      <x:c r="AC29" s="10" t="n">
        <x:v>966.514299</x:v>
      </x:c>
      <x:c r="AD29" s="10" t="n">
        <x:v>899.493154</x:v>
      </x:c>
      <x:c r="AE29" s="10" t="n">
        <x:f>IF(A29=B29,0,AVERAGE(E29:Q29))</x:f>
        <x:v>1179.6591597692309</x:v>
      </x:c>
      <x:c r="AF29" s="10" t="n">
        <x:f>IF(A29=B29,0,AVERAGE(R29:AD29))</x:f>
        <x:v>504.44520784615383</x:v>
      </x:c>
      <x:c r="AG29" s="10" t="n">
        <x:f>AE29+AF29</x:f>
        <x:v>1684.1043676153847</x:v>
      </x:c>
    </x:row>
    <x:row r="30">
      <x:c r="A30" t="str">
        <x:v>CA</x:v>
      </x:c>
      <x:c r="B30" t="str">
        <x:v>AU</x:v>
      </x:c>
      <x:c r="C30" t="str">
        <x:v>Canada</x:v>
      </x:c>
      <x:c r="D30" t="str">
        <x:v>Australia</x:v>
      </x:c>
      <x:c r="E30" s="10" t="n">
        <x:v>775.32533</x:v>
      </x:c>
      <x:c r="F30" s="10" t="n">
        <x:v>682.454863</x:v>
      </x:c>
      <x:c r="G30" s="10" t="n">
        <x:v>708.391175</x:v>
      </x:c>
      <x:c r="H30" s="10" t="n">
        <x:v>942.880723</x:v>
      </x:c>
      <x:c r="I30" s="10" t="n">
        <x:v>1182.117421</x:v>
      </x:c>
      <x:c r="J30" s="10" t="n">
        <x:v>1355.443735</x:v>
      </x:c>
      <x:c r="K30" s="10" t="n">
        <x:v>1623.314873</x:v>
      </x:c>
      <x:c r="L30" s="10" t="n">
        <x:v>1637.688377</x:v>
      </x:c>
      <x:c r="M30" s="10" t="n">
        <x:v>2011.137663</x:v>
      </x:c>
      <x:c r="N30" s="10" t="n">
        <x:v>1567.469606</x:v>
      </x:c>
      <x:c r="O30" s="10" t="n">
        <x:v>1699.418926</x:v>
      </x:c>
      <x:c r="P30" s="10" t="n">
        <x:v>1918.663739</x:v>
      </x:c>
      <x:c r="Q30" s="10" t="n">
        <x:v>2037.79786</x:v>
      </x:c>
      <x:c r="R30" s="10" t="n">
        <x:v>1101.808949</x:v>
      </x:c>
      <x:c r="S30" s="10" t="n">
        <x:v>1088.729525</x:v>
      </x:c>
      <x:c r="T30" s="10" t="n">
        <x:v>1151.88147</x:v>
      </x:c>
      <x:c r="U30" s="10" t="n">
        <x:v>1216.61186</x:v>
      </x:c>
      <x:c r="V30" s="10" t="n">
        <x:v>1442.67819</x:v>
      </x:c>
      <x:c r="W30" s="10" t="n">
        <x:v>1526.416219</x:v>
      </x:c>
      <x:c r="X30" s="10" t="n">
        <x:v>1487.359423</x:v>
      </x:c>
      <x:c r="Y30" s="10" t="n">
        <x:v>1773.39007</x:v>
      </x:c>
      <x:c r="Z30" s="10" t="n">
        <x:v>1650.272845</x:v>
      </x:c>
      <x:c r="AA30" s="10" t="n">
        <x:v>1520.106404</x:v>
      </x:c>
      <x:c r="AB30" s="10" t="n">
        <x:v>1667.829104</x:v>
      </x:c>
      <x:c r="AC30" s="10" t="n">
        <x:v>1893.942988</x:v>
      </x:c>
      <x:c r="AD30" s="10" t="n">
        <x:v>2203.410232</x:v>
      </x:c>
      <x:c r="AE30" s="10" t="n">
        <x:f>IF(A30=B30,0,AVERAGE(E30:Q30))</x:f>
        <x:v>1395.546483923077</x:v>
      </x:c>
      <x:c r="AF30" s="10" t="n">
        <x:f>IF(A30=B30,0,AVERAGE(R30:AD30))</x:f>
        <x:v>1517.264406076923</x:v>
      </x:c>
      <x:c r="AG30" s="10" t="n">
        <x:f>AE30+AF30</x:f>
        <x:v>2912.8108899999997</x:v>
      </x:c>
    </x:row>
    <x:row r="31">
      <x:c r="A31" t="str">
        <x:v>CA</x:v>
      </x:c>
      <x:c r="B31" t="str">
        <x:v>BR</x:v>
      </x:c>
      <x:c r="C31" t="str">
        <x:v>Canada</x:v>
      </x:c>
      <x:c r="D31" t="str">
        <x:v>Brazil</x:v>
      </x:c>
      <x:c r="E31" s="10" t="n">
        <x:v>694.798794</x:v>
      </x:c>
      <x:c r="F31" s="10" t="n">
        <x:v>585.265198</x:v>
      </x:c>
      <x:c r="G31" s="10" t="n">
        <x:v>470.071974</x:v>
      </x:c>
      <x:c r="H31" s="10" t="n">
        <x:v>610.643067</x:v>
      </x:c>
      <x:c r="I31" s="10" t="n">
        <x:v>696.66636</x:v>
      </x:c>
      <x:c r="J31" s="10" t="n">
        <x:v>912.007883</x:v>
      </x:c>
      <x:c r="K31" s="10" t="n">
        <x:v>1171.180359</x:v>
      </x:c>
      <x:c r="L31" s="10" t="n">
        <x:v>1412.356972</x:v>
      </x:c>
      <x:c r="M31" s="10" t="n">
        <x:v>2432.740154</x:v>
      </x:c>
      <x:c r="N31" s="10" t="n">
        <x:v>1425.589939</x:v>
      </x:c>
      <x:c r="O31" s="10" t="n">
        <x:v>2487.305294</x:v>
      </x:c>
      <x:c r="P31" s="10" t="n">
        <x:v>2873.266145</x:v>
      </x:c>
      <x:c r="Q31" s="10" t="n">
        <x:v>2609.287753</x:v>
      </x:c>
      <x:c r="R31" s="10" t="n">
        <x:v>1065.028387</x:v>
      </x:c>
      <x:c r="S31" s="10" t="n">
        <x:v>1046.560387</x:v>
      </x:c>
      <x:c r="T31" s="10" t="n">
        <x:v>1286.862965</x:v>
      </x:c>
      <x:c r="U31" s="10" t="n">
        <x:v>1517.994715</x:v>
      </x:c>
      <x:c r="V31" s="10" t="n">
        <x:v>1911.950963</x:v>
      </x:c>
      <x:c r="W31" s="10" t="n">
        <x:v>2762.844461</x:v>
      </x:c>
      <x:c r="X31" s="10" t="n">
        <x:v>3186.573082</x:v>
      </x:c>
      <x:c r="Y31" s="10" t="n">
        <x:v>3345.670084</x:v>
      </x:c>
      <x:c r="Z31" s="10" t="n">
        <x:v>2663.804129</x:v>
      </x:c>
      <x:c r="AA31" s="10" t="n">
        <x:v>2416.661874</x:v>
      </x:c>
      <x:c r="AB31" s="10" t="n">
        <x:v>3392.147759</x:v>
      </x:c>
      <x:c r="AC31" s="10" t="n">
        <x:v>4173.943471</x:v>
      </x:c>
      <x:c r="AD31" s="10" t="n">
        <x:v>4214.952062</x:v>
      </x:c>
      <x:c r="AE31" s="10" t="n">
        <x:f>IF(A31=B31,0,AVERAGE(E31:Q31))</x:f>
        <x:v>1413.9369147692305</x:v>
      </x:c>
      <x:c r="AF31" s="10" t="n">
        <x:f>IF(A31=B31,0,AVERAGE(R31:AD31))</x:f>
        <x:v>2537.3072568461535</x:v>
      </x:c>
      <x:c r="AG31" s="10" t="n">
        <x:f>AE31+AF31</x:f>
        <x:v>3951.244171615384</x:v>
      </x:c>
    </x:row>
    <x:row r="32">
      <x:c r="A32" t="str">
        <x:v>CA</x:v>
      </x:c>
      <x:c r="B32" t="str">
        <x:v>CA</x:v>
      </x:c>
      <x:c r="C32" t="str">
        <x:v>Canada</x:v>
      </x:c>
      <x:c r="D32" t="str">
        <x:v>Canada</x:v>
      </x:c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 t="n">
        <x:f>IF(A32=B32,0,AVERAGE(E32:Q32))</x:f>
        <x:v>0</x:v>
      </x:c>
      <x:c r="AF32" s="10" t="n">
        <x:f>IF(A32=B32,0,AVERAGE(R32:AD32))</x:f>
        <x:v>0</x:v>
      </x:c>
      <x:c r="AG32" s="10" t="n">
        <x:f>AE32+AF32</x:f>
        <x:v>0</x:v>
      </x:c>
    </x:row>
    <x:row r="33">
      <x:c r="A33" t="str">
        <x:v>CA</x:v>
      </x:c>
      <x:c r="B33" t="str">
        <x:v>CH</x:v>
      </x:c>
      <x:c r="C33" t="str">
        <x:v>Canada</x:v>
      </x:c>
      <x:c r="D33" t="str">
        <x:v>Switzerland</x:v>
      </x:c>
      <x:c r="E33" s="10" t="n">
        <x:v>343.289022</x:v>
      </x:c>
      <x:c r="F33" s="10" t="n">
        <x:v>214.463155</x:v>
      </x:c>
      <x:c r="G33" s="10" t="n">
        <x:v>322.432247</x:v>
      </x:c>
      <x:c r="H33" s="10" t="n">
        <x:v>342.12373</x:v>
      </x:c>
      <x:c r="I33" s="10" t="n">
        <x:v>489.714036</x:v>
      </x:c>
      <x:c r="J33" s="10" t="n">
        <x:v>876.874165</x:v>
      </x:c>
      <x:c r="K33" s="10" t="n">
        <x:v>955.861893</x:v>
      </x:c>
      <x:c r="L33" s="10" t="n">
        <x:v>1370.481658</x:v>
      </x:c>
      <x:c r="M33" s="10" t="n">
        <x:v>1207.560874</x:v>
      </x:c>
      <x:c r="N33" s="10" t="n">
        <x:v>1046.420929</x:v>
      </x:c>
      <x:c r="O33" s="10" t="n">
        <x:v>1496.845024</x:v>
      </x:c>
      <x:c r="P33" s="10" t="n">
        <x:v>1148.824454</x:v>
      </x:c>
      <x:c r="Q33" s="10" t="n">
        <x:v>851.68656</x:v>
      </x:c>
      <x:c r="R33" s="10" t="n">
        <x:v>1052.235726</x:v>
      </x:c>
      <x:c r="S33" s="10" t="n">
        <x:v>972.361464</x:v>
      </x:c>
      <x:c r="T33" s="10" t="n">
        <x:v>1036.03472</x:v>
      </x:c>
      <x:c r="U33" s="10" t="n">
        <x:v>1076.362215</x:v>
      </x:c>
      <x:c r="V33" s="10" t="n">
        <x:v>1359.876679</x:v>
      </x:c>
      <x:c r="W33" s="10" t="n">
        <x:v>1863.458812</x:v>
      </x:c>
      <x:c r="X33" s="10" t="n">
        <x:v>2003.624763</x:v>
      </x:c>
      <x:c r="Y33" s="10" t="n">
        <x:v>2255.134867</x:v>
      </x:c>
      <x:c r="Z33" s="10" t="n">
        <x:v>2773.936836</x:v>
      </x:c>
      <x:c r="AA33" s="10" t="n">
        <x:v>3201.348216</x:v>
      </x:c>
      <x:c r="AB33" s="10" t="n">
        <x:v>3031.135237</x:v>
      </x:c>
      <x:c r="AC33" s="10" t="n">
        <x:v>3383.665358</x:v>
      </x:c>
      <x:c r="AD33" s="10" t="n">
        <x:v>3797.098837</x:v>
      </x:c>
      <x:c r="AE33" s="10" t="n">
        <x:f>IF(A33=B33,0,AVERAGE(E33:Q33))</x:f>
        <x:v>820.5059805384615</x:v>
      </x:c>
      <x:c r="AF33" s="10" t="n">
        <x:f>IF(A33=B33,0,AVERAGE(R33:AD33))</x:f>
        <x:v>2138.9441330769228</x:v>
      </x:c>
      <x:c r="AG33" s="10" t="n">
        <x:f>AE33+AF33</x:f>
        <x:v>2959.450113615384</x:v>
      </x:c>
    </x:row>
    <x:row r="34">
      <x:c r="A34" t="str">
        <x:v>CA</x:v>
      </x:c>
      <x:c r="B34" t="str">
        <x:v>CN</x:v>
      </x:c>
      <x:c r="C34" t="str">
        <x:v>Canada</x:v>
      </x:c>
      <x:c r="D34" t="str">
        <x:v>China, People's Republic of</x:v>
      </x:c>
      <x:c r="E34" s="10" t="n">
        <x:v>2442.572201</x:v>
      </x:c>
      <x:c r="F34" s="10" t="n">
        <x:v>2649.745939</x:v>
      </x:c>
      <x:c r="G34" s="10" t="n">
        <x:v>2547.18969</x:v>
      </x:c>
      <x:c r="H34" s="10" t="n">
        <x:v>3214.593483</x:v>
      </x:c>
      <x:c r="I34" s="10" t="n">
        <x:v>5038.530601</x:v>
      </x:c>
      <x:c r="J34" s="10" t="n">
        <x:v>5958.940581</x:v>
      </x:c>
      <x:c r="K34" s="10" t="n">
        <x:v>6880.164793</x:v>
      </x:c>
      <x:c r="L34" s="10" t="n">
        <x:v>8908.745707</x:v>
      </x:c>
      <x:c r="M34" s="10" t="n">
        <x:v>9922.35122</x:v>
      </x:c>
      <x:c r="N34" s="10" t="n">
        <x:v>9769.883283</x:v>
      </x:c>
      <x:c r="O34" s="10" t="n">
        <x:v>12884.305875</x:v>
      </x:c>
      <x:c r="P34" s="10" t="n">
        <x:v>16952.640467</x:v>
      </x:c>
      <x:c r="Q34" s="10" t="n">
        <x:v>19389.563504</x:v>
      </x:c>
      <x:c r="R34" s="10" t="n">
        <x:v>8037.336526</x:v>
      </x:c>
      <x:c r="S34" s="10" t="n">
        <x:v>8699.451687</x:v>
      </x:c>
      <x:c r="T34" s="10" t="n">
        <x:v>10784.529569</x:v>
      </x:c>
      <x:c r="U34" s="10" t="n">
        <x:v>14125.473405</x:v>
      </x:c>
      <x:c r="V34" s="10" t="n">
        <x:v>19683.732039</x:v>
      </x:c>
      <x:c r="W34" s="10" t="n">
        <x:v>25900.695814</x:v>
      </x:c>
      <x:c r="X34" s="10" t="n">
        <x:v>32277.263652</x:v>
      </x:c>
      <x:c r="Y34" s="10" t="n">
        <x:v>38053.864256</x:v>
      </x:c>
      <x:c r="Z34" s="10" t="n">
        <x:v>42266.216745</x:v>
      </x:c>
      <x:c r="AA34" s="10" t="n">
        <x:v>37047.855018</x:v>
      </x:c>
      <x:c r="AB34" s="10" t="n">
        <x:v>45834.875285</x:v>
      </x:c>
      <x:c r="AC34" s="10" t="n">
        <x:v>51582.752181</x:v>
      </x:c>
      <x:c r="AD34" s="10" t="n">
        <x:v>53807.135798</x:v>
      </x:c>
      <x:c r="AE34" s="10" t="n">
        <x:f>IF(A34=B34,0,AVERAGE(E34:Q34))</x:f>
        <x:v>8196.863641846156</x:v>
      </x:c>
      <x:c r="AF34" s="10" t="n">
        <x:f>IF(A34=B34,0,AVERAGE(R34:AD34))</x:f>
        <x:v>29853.937075000005</x:v>
      </x:c>
      <x:c r="AG34" s="10" t="n">
        <x:f>AE34+AF34</x:f>
        <x:v>38050.80071684616</x:v>
      </x:c>
    </x:row>
    <x:row r="35">
      <x:c r="A35" t="str">
        <x:v>CA</x:v>
      </x:c>
      <x:c r="B35" t="str">
        <x:v>EA</x:v>
      </x:c>
      <x:c r="C35" t="str">
        <x:v>Canada</x:v>
      </x:c>
      <x:c r="D35" t="str">
        <x:v>Euro Area (EA)</x:v>
      </x:c>
      <x:c r="E35" s="10" t="n">
        <x:v>7933.011036</x:v>
      </x:c>
      <x:c r="F35" s="10" t="n">
        <x:v>7762.574971</x:v>
      </x:c>
      <x:c r="G35" s="10" t="n">
        <x:v>7468.766001</x:v>
      </x:c>
      <x:c r="H35" s="10" t="n">
        <x:v>8687.367989</x:v>
      </x:c>
      <x:c r="I35" s="10" t="n">
        <x:v>10234.422722</x:v>
      </x:c>
      <x:c r="J35" s="10" t="n">
        <x:v>12630.690334</x:v>
      </x:c>
      <x:c r="K35" s="10" t="n">
        <x:v>15345.701868</x:v>
      </x:c>
      <x:c r="L35" s="10" t="n">
        <x:v>18860.269265</x:v>
      </x:c>
      <x:c r="M35" s="10" t="n">
        <x:v>19869.570425</x:v>
      </x:c>
      <x:c r="N35" s="10" t="n">
        <x:v>13998.456299</x:v>
      </x:c>
      <x:c r="O35" s="10" t="n">
        <x:v>16260.264195</x:v>
      </x:c>
      <x:c r="P35" s="10" t="n">
        <x:v>19755.204416</x:v>
      </x:c>
      <x:c r="Q35" s="10" t="n">
        <x:v>18101.664802</x:v>
      </x:c>
      <x:c r="R35" s="10" t="n">
        <x:v>15588.365859</x:v>
      </x:c>
      <x:c r="S35" s="10" t="n">
        <x:v>16839.505158</x:v>
      </x:c>
      <x:c r="T35" s="10" t="n">
        <x:v>17816.3479</x:v>
      </x:c>
      <x:c r="U35" s="10" t="n">
        <x:v>20335.081822</x:v>
      </x:c>
      <x:c r="V35" s="10" t="n">
        <x:v>23033.521594</x:v>
      </x:c>
      <x:c r="W35" s="10" t="n">
        <x:v>26548.475688</x:v>
      </x:c>
      <x:c r="X35" s="10" t="n">
        <x:v>30684.402727</x:v>
      </x:c>
      <x:c r="Y35" s="10" t="n">
        <x:v>32625.221795</x:v>
      </x:c>
      <x:c r="Z35" s="10" t="n">
        <x:v>35624.2077</x:v>
      </x:c>
      <x:c r="AA35" s="10" t="n">
        <x:v>28827.267203</x:v>
      </x:c>
      <x:c r="AB35" s="10" t="n">
        <x:v>32322.337045</x:v>
      </x:c>
      <x:c r="AC35" s="10" t="n">
        <x:v>37952.524765</x:v>
      </x:c>
      <x:c r="AD35" s="10" t="n">
        <x:v>38799.276244</x:v>
      </x:c>
      <x:c r="AE35" s="10" t="n">
        <x:f>IF(A35=B35,0,AVERAGE(E35:Q35))</x:f>
        <x:v>13608.304947923076</x:v>
      </x:c>
      <x:c r="AF35" s="10" t="n">
        <x:f>IF(A35=B35,0,AVERAGE(R35:AD35))</x:f>
        <x:v>27461.271961538463</x:v>
      </x:c>
      <x:c r="AG35" s="10" t="n">
        <x:f>AE35+AF35</x:f>
        <x:v>41069.57690946154</x:v>
      </x:c>
    </x:row>
    <x:row r="36">
      <x:c r="A36" t="str">
        <x:v>CA</x:v>
      </x:c>
      <x:c r="B36" t="str">
        <x:v>UK</x:v>
      </x:c>
      <x:c r="C36" t="str">
        <x:v>Canada</x:v>
      </x:c>
      <x:c r="D36" t="str">
        <x:v>United Kingdom</x:v>
      </x:c>
      <x:c r="E36" s="10" t="n">
        <x:v>3832.770739</x:v>
      </x:c>
      <x:c r="F36" s="10" t="n">
        <x:v>3206.191102</x:v>
      </x:c>
      <x:c r="G36" s="10" t="n">
        <x:v>2722.391978</x:v>
      </x:c>
      <x:c r="H36" s="10" t="n">
        <x:v>3812.171424</x:v>
      </x:c>
      <x:c r="I36" s="10" t="n">
        <x:v>5162.073585</x:v>
      </x:c>
      <x:c r="J36" s="10" t="n">
        <x:v>6824.637389</x:v>
      </x:c>
      <x:c r="K36" s="10" t="n">
        <x:v>8943.343424</x:v>
      </x:c>
      <x:c r="L36" s="10" t="n">
        <x:v>11923.697196</x:v>
      </x:c>
      <x:c r="M36" s="10" t="n">
        <x:v>12300.304853</x:v>
      </x:c>
      <x:c r="N36" s="10" t="n">
        <x:v>10606.215369</x:v>
      </x:c>
      <x:c r="O36" s="10" t="n">
        <x:v>15915.254841</x:v>
      </x:c>
      <x:c r="P36" s="10" t="n">
        <x:v>18983.225511</x:v>
      </x:c>
      <x:c r="Q36" s="10" t="n">
        <x:v>18779.911486</x:v>
      </x:c>
      <x:c r="R36" s="10" t="n">
        <x:v>9249.772333</x:v>
      </x:c>
      <x:c r="S36" s="10" t="n">
        <x:v>7868.766429</x:v>
      </x:c>
      <x:c r="T36" s="10" t="n">
        <x:v>6570.600551</x:v>
      </x:c>
      <x:c r="U36" s="10" t="n">
        <x:v>6893.009401</x:v>
      </x:c>
      <x:c r="V36" s="10" t="n">
        <x:v>7837.885234</x:v>
      </x:c>
      <x:c r="W36" s="10" t="n">
        <x:v>9120.577401</x:v>
      </x:c>
      <x:c r="X36" s="10" t="n">
        <x:v>10178.17674</x:v>
      </x:c>
      <x:c r="Y36" s="10" t="n">
        <x:v>11377.804675</x:v>
      </x:c>
      <x:c r="Z36" s="10" t="n">
        <x:v>12545.689957</x:v>
      </x:c>
      <x:c r="AA36" s="10" t="n">
        <x:v>8768.801039</x:v>
      </x:c>
      <x:c r="AB36" s="10" t="n">
        <x:v>11046.100671</x:v>
      </x:c>
      <x:c r="AC36" s="10" t="n">
        <x:v>11099.974054</x:v>
      </x:c>
      <x:c r="AD36" s="10" t="n">
        <x:v>9053.99171</x:v>
      </x:c>
      <x:c r="AE36" s="10" t="n">
        <x:f>IF(A36=B36,0,AVERAGE(E36:Q36))</x:f>
        <x:v>9462.476069</x:v>
      </x:c>
      <x:c r="AF36" s="10" t="n">
        <x:f>IF(A36=B36,0,AVERAGE(R36:AD36))</x:f>
        <x:v>9354.703861153846</x:v>
      </x:c>
      <x:c r="AG36" s="10" t="n">
        <x:f>AE36+AF36</x:f>
        <x:v>18817.17993015385</x:v>
      </x:c>
    </x:row>
    <x:row r="37">
      <x:c r="A37" t="str">
        <x:v>CA</x:v>
      </x:c>
      <x:c r="B37" t="str">
        <x:v>JP</x:v>
      </x:c>
      <x:c r="C37" t="str">
        <x:v>Canada</x:v>
      </x:c>
      <x:c r="D37" t="str">
        <x:v>Japan</x:v>
      </x:c>
      <x:c r="E37" s="10" t="n">
        <x:v>5935.522047</x:v>
      </x:c>
      <x:c r="F37" s="10" t="n">
        <x:v>5202.846779</x:v>
      </x:c>
      <x:c r="G37" s="10" t="n">
        <x:v>5148.666925</x:v>
      </x:c>
      <x:c r="H37" s="10" t="n">
        <x:v>5609.777073</x:v>
      </x:c>
      <x:c r="I37" s="10" t="n">
        <x:v>6524.461029</x:v>
      </x:c>
      <x:c r="J37" s="10" t="n">
        <x:v>7580.88299</x:v>
      </x:c>
      <x:c r="K37" s="10" t="n">
        <x:v>8312.869742</x:v>
      </x:c>
      <x:c r="L37" s="10" t="n">
        <x:v>8598.340193</x:v>
      </x:c>
      <x:c r="M37" s="10" t="n">
        <x:v>10418.623344</x:v>
      </x:c>
      <x:c r="N37" s="10" t="n">
        <x:v>7292.251944</x:v>
      </x:c>
      <x:c r="O37" s="10" t="n">
        <x:v>8932.211307</x:v>
      </x:c>
      <x:c r="P37" s="10" t="n">
        <x:v>10786.260249</x:v>
      </x:c>
      <x:c r="Q37" s="10" t="n">
        <x:v>10366.834367</x:v>
      </x:c>
      <x:c r="R37" s="10" t="n">
        <x:v>11836.088679</x:v>
      </x:c>
      <x:c r="S37" s="10" t="n">
        <x:v>10105.830057</x:v>
      </x:c>
      <x:c r="T37" s="10" t="n">
        <x:v>10399.255426</x:v>
      </x:c>
      <x:c r="U37" s="10" t="n">
        <x:v>10389.650626</x:v>
      </x:c>
      <x:c r="V37" s="10" t="n">
        <x:v>10867.543222</x:v>
      </x:c>
      <x:c r="W37" s="10" t="n">
        <x:v>12958.320716</x:v>
      </x:c>
      <x:c r="X37" s="10" t="n">
        <x:v>14331.479484</x:v>
      </x:c>
      <x:c r="Y37" s="10" t="n">
        <x:v>15302.497364</x:v>
      </x:c>
      <x:c r="Z37" s="10" t="n">
        <x:v>15299.271867</x:v>
      </x:c>
      <x:c r="AA37" s="10" t="n">
        <x:v>11495.235892</x:v>
      </x:c>
      <x:c r="AB37" s="10" t="n">
        <x:v>13848.272474</x:v>
      </x:c>
      <x:c r="AC37" s="10" t="n">
        <x:v>13959.160759</x:v>
      </x:c>
      <x:c r="AD37" s="10" t="n">
        <x:v>15936.956774</x:v>
      </x:c>
      <x:c r="AE37" s="10" t="n">
        <x:f>IF(A37=B37,0,AVERAGE(E37:Q37))</x:f>
        <x:v>7746.888306846155</x:v>
      </x:c>
      <x:c r="AF37" s="10" t="n">
        <x:f>IF(A37=B37,0,AVERAGE(R37:AD37))</x:f>
        <x:v>12825.351026153843</x:v>
      </x:c>
      <x:c r="AG37" s="10" t="n">
        <x:f>AE37+AF37</x:f>
        <x:v>20572.239332999998</x:v>
      </x:c>
    </x:row>
    <x:row r="38">
      <x:c r="A38" t="str">
        <x:v>CA</x:v>
      </x:c>
      <x:c r="B38" t="str">
        <x:v>KR</x:v>
      </x:c>
      <x:c r="C38" t="str">
        <x:v>Canada</x:v>
      </x:c>
      <x:c r="D38" t="str">
        <x:v>Korea, Republic of</x:v>
      </x:c>
      <x:c r="E38" s="10" t="n">
        <x:v>1474.87598</x:v>
      </x:c>
      <x:c r="F38" s="10" t="n">
        <x:v>1245.940409</x:v>
      </x:c>
      <x:c r="G38" s="10" t="n">
        <x:v>1250.25609</x:v>
      </x:c>
      <x:c r="H38" s="10" t="n">
        <x:v>1312.26941</x:v>
      </x:c>
      <x:c r="I38" s="10" t="n">
        <x:v>1711.591271</x:v>
      </x:c>
      <x:c r="J38" s="10" t="n">
        <x:v>2334.817918</x:v>
      </x:c>
      <x:c r="K38" s="10" t="n">
        <x:v>2899.029229</x:v>
      </x:c>
      <x:c r="L38" s="10" t="n">
        <x:v>2815.409234</x:v>
      </x:c>
      <x:c r="M38" s="10" t="n">
        <x:v>3599.262158</x:v>
      </x:c>
      <x:c r="N38" s="10" t="n">
        <x:v>3092.430184</x:v>
      </x:c>
      <x:c r="O38" s="10" t="n">
        <x:v>3605.092223</x:v>
      </x:c>
      <x:c r="P38" s="10" t="n">
        <x:v>5157.08941</x:v>
      </x:c>
      <x:c r="Q38" s="10" t="n">
        <x:v>3717.788417</x:v>
      </x:c>
      <x:c r="R38" s="10" t="n">
        <x:v>3684.854806</x:v>
      </x:c>
      <x:c r="S38" s="10" t="n">
        <x:v>3160.202151</x:v>
      </x:c>
      <x:c r="T38" s="10" t="n">
        <x:v>3280.563546</x:v>
      </x:c>
      <x:c r="U38" s="10" t="n">
        <x:v>3885.38845</x:v>
      </x:c>
      <x:c r="V38" s="10" t="n">
        <x:v>4750.36718</x:v>
      </x:c>
      <x:c r="W38" s="10" t="n">
        <x:v>4707.547249</x:v>
      </x:c>
      <x:c r="X38" s="10" t="n">
        <x:v>5394.26447</x:v>
      </x:c>
      <x:c r="Y38" s="10" t="n">
        <x:v>5336.567228</x:v>
      </x:c>
      <x:c r="Z38" s="10" t="n">
        <x:v>5980.056817</x:v>
      </x:c>
      <x:c r="AA38" s="10" t="n">
        <x:v>5544.473111</x:v>
      </x:c>
      <x:c r="AB38" s="10" t="n">
        <x:v>6333.240436</x:v>
      </x:c>
      <x:c r="AC38" s="10" t="n">
        <x:v>7167.428898</x:v>
      </x:c>
      <x:c r="AD38" s="10" t="n">
        <x:v>6756.51565</x:v>
      </x:c>
      <x:c r="AE38" s="10" t="n">
        <x:f>IF(A38=B38,0,AVERAGE(E38:Q38))</x:f>
        <x:v>2631.9886102307696</x:v>
      </x:c>
      <x:c r="AF38" s="10" t="n">
        <x:f>IF(A38=B38,0,AVERAGE(R38:AD38))</x:f>
        <x:v>5075.497691692308</x:v>
      </x:c>
      <x:c r="AG38" s="10" t="n">
        <x:f>AE38+AF38</x:f>
        <x:v>7707.486301923078</x:v>
      </x:c>
    </x:row>
    <x:row r="39">
      <x:c r="A39" t="str">
        <x:v>CA</x:v>
      </x:c>
      <x:c r="B39" t="str">
        <x:v>NO</x:v>
      </x:c>
      <x:c r="C39" t="str">
        <x:v>Canada</x:v>
      </x:c>
      <x:c r="D39" t="str">
        <x:v>Norway</x:v>
      </x:c>
      <x:c r="E39" s="10" t="n">
        <x:v>499.604987</x:v>
      </x:c>
      <x:c r="F39" s="10" t="n">
        <x:v>580.939277</x:v>
      </x:c>
      <x:c r="G39" s="10" t="n">
        <x:v>583.117135</x:v>
      </x:c>
      <x:c r="H39" s="10" t="n">
        <x:v>650.166665</x:v>
      </x:c>
      <x:c r="I39" s="10" t="n">
        <x:v>955.224001</x:v>
      </x:c>
      <x:c r="J39" s="10" t="n">
        <x:v>1277.032963</x:v>
      </x:c>
      <x:c r="K39" s="10" t="n">
        <x:v>1666.866424</x:v>
      </x:c>
      <x:c r="L39" s="10" t="n">
        <x:v>3430.404781</x:v>
      </x:c>
      <x:c r="M39" s="10" t="n">
        <x:v>2716.152821</x:v>
      </x:c>
      <x:c r="N39" s="10" t="n">
        <x:v>1568.852464</x:v>
      </x:c>
      <x:c r="O39" s="10" t="n">
        <x:v>2458.841242</x:v>
      </x:c>
      <x:c r="P39" s="10" t="n">
        <x:v>2827.375745</x:v>
      </x:c>
      <x:c r="Q39" s="10" t="n">
        <x:v>2321.57541</x:v>
      </x:c>
      <x:c r="R39" s="10" t="n">
        <x:v>3110.719465</x:v>
      </x:c>
      <x:c r="S39" s="10" t="n">
        <x:v>2340.1598</x:v>
      </x:c>
      <x:c r="T39" s="10" t="n">
        <x:v>2652.795847</x:v>
      </x:c>
      <x:c r="U39" s="10" t="n">
        <x:v>3257.513849</x:v>
      </x:c>
      <x:c r="V39" s="10" t="n">
        <x:v>3157.2002</x:v>
      </x:c>
      <x:c r="W39" s="10" t="n">
        <x:v>5284.64393</x:v>
      </x:c>
      <x:c r="X39" s="10" t="n">
        <x:v>5107.959135</x:v>
      </x:c>
      <x:c r="Y39" s="10" t="n">
        <x:v>5311.406868</x:v>
      </x:c>
      <x:c r="Z39" s="10" t="n">
        <x:v>6278.385922</x:v>
      </x:c>
      <x:c r="AA39" s="10" t="n">
        <x:v>3342.013769</x:v>
      </x:c>
      <x:c r="AB39" s="10" t="n">
        <x:v>2926.184852</x:v>
      </x:c>
      <x:c r="AC39" s="10" t="n">
        <x:v>4642.8382</x:v>
      </x:c>
      <x:c r="AD39" s="10" t="n">
        <x:v>3968.380274</x:v>
      </x:c>
      <x:c r="AE39" s="10" t="n">
        <x:f>IF(A39=B39,0,AVERAGE(E39:Q39))</x:f>
        <x:v>1656.6272242307691</x:v>
      </x:c>
      <x:c r="AF39" s="10" t="n">
        <x:f>IF(A39=B39,0,AVERAGE(R39:AD39))</x:f>
        <x:v>3952.3232393076923</x:v>
      </x:c>
      <x:c r="AG39" s="10" t="n">
        <x:f>AE39+AF39</x:f>
        <x:v>5608.950463538462</x:v>
      </x:c>
    </x:row>
    <x:row r="40">
      <x:c r="A40" t="str">
        <x:v>CA</x:v>
      </x:c>
      <x:c r="B40" t="str">
        <x:v>SG</x:v>
      </x:c>
      <x:c r="C40" t="str">
        <x:v>Canada</x:v>
      </x:c>
      <x:c r="D40" t="str">
        <x:v>Singapore</x:v>
      </x:c>
      <x:c r="E40" s="10" t="n">
        <x:v>242.341323</x:v>
      </x:c>
      <x:c r="F40" s="10" t="n">
        <x:v>241.213288</x:v>
      </x:c>
      <x:c r="G40" s="10" t="n">
        <x:v>324.189639</x:v>
      </x:c>
      <x:c r="H40" s="10" t="n">
        <x:v>304.213885</x:v>
      </x:c>
      <x:c r="I40" s="10" t="n">
        <x:v>466.64258</x:v>
      </x:c>
      <x:c r="J40" s="10" t="n">
        <x:v>529.965774</x:v>
      </x:c>
      <x:c r="K40" s="10" t="n">
        <x:v>654.480688</x:v>
      </x:c>
      <x:c r="L40" s="10" t="n">
        <x:v>860.610109</x:v>
      </x:c>
      <x:c r="M40" s="10" t="n">
        <x:v>780.317921</x:v>
      </x:c>
      <x:c r="N40" s="10" t="n">
        <x:v>943.283671</x:v>
      </x:c>
      <x:c r="O40" s="10" t="n">
        <x:v>810.168852</x:v>
      </x:c>
      <x:c r="P40" s="10" t="n">
        <x:v>814.692905</x:v>
      </x:c>
      <x:c r="Q40" s="10" t="n">
        <x:v>909.053948</x:v>
      </x:c>
      <x:c r="R40" s="10" t="n">
        <x:v>995.811011</x:v>
      </x:c>
      <x:c r="S40" s="10" t="n">
        <x:v>778.191304</x:v>
      </x:c>
      <x:c r="T40" s="10" t="n">
        <x:v>666.212236</x:v>
      </x:c>
      <x:c r="U40" s="10" t="n">
        <x:v>793.142948</x:v>
      </x:c>
      <x:c r="V40" s="10" t="n">
        <x:v>798.680801</x:v>
      </x:c>
      <x:c r="W40" s="10" t="n">
        <x:v>852.033391</x:v>
      </x:c>
      <x:c r="X40" s="10" t="n">
        <x:v>921.9924</x:v>
      </x:c>
      <x:c r="Y40" s="10" t="n">
        <x:v>1480.48418</x:v>
      </x:c>
      <x:c r="Z40" s="10" t="n">
        <x:v>1239.891192</x:v>
      </x:c>
      <x:c r="AA40" s="10" t="n">
        <x:v>1053.352948</x:v>
      </x:c>
      <x:c r="AB40" s="10" t="n">
        <x:v>1183.172302</x:v>
      </x:c>
      <x:c r="AC40" s="10" t="n">
        <x:v>1662.60162</x:v>
      </x:c>
      <x:c r="AD40" s="10" t="n">
        <x:v>1512.863399</x:v>
      </x:c>
      <x:c r="AE40" s="10" t="n">
        <x:f>IF(A40=B40,0,AVERAGE(E40:Q40))</x:f>
        <x:v>606.2441986923076</x:v>
      </x:c>
      <x:c r="AF40" s="10" t="n">
        <x:f>IF(A40=B40,0,AVERAGE(R40:AD40))</x:f>
        <x:v>1072.1869024615382</x:v>
      </x:c>
      <x:c r="AG40" s="10" t="n">
        <x:f>AE40+AF40</x:f>
        <x:v>1678.4311011538457</x:v>
      </x:c>
    </x:row>
    <x:row r="41">
      <x:c r="A41" t="str">
        <x:v>CA</x:v>
      </x:c>
      <x:c r="B41" t="str">
        <x:v>TR</x:v>
      </x:c>
      <x:c r="C41" t="str">
        <x:v>Canada</x:v>
      </x:c>
      <x:c r="D41" t="str">
        <x:v>Türkiye, Republic of</x:v>
      </x:c>
      <x:c r="E41" s="10" t="n">
        <x:v>170.381017</x:v>
      </x:c>
      <x:c r="F41" s="10" t="n">
        <x:v>110.883504</x:v>
      </x:c>
      <x:c r="G41" s="10" t="n">
        <x:v>169.006019</x:v>
      </x:c>
      <x:c r="H41" s="10" t="n">
        <x:v>191.903671</x:v>
      </x:c>
      <x:c r="I41" s="10" t="n">
        <x:v>277.81624</x:v>
      </x:c>
      <x:c r="J41" s="10" t="n">
        <x:v>403.912891</x:v>
      </x:c>
      <x:c r="K41" s="10" t="n">
        <x:v>483.455703</x:v>
      </x:c>
      <x:c r="L41" s="10" t="n">
        <x:v>631.275862</x:v>
      </x:c>
      <x:c r="M41" s="10" t="n">
        <x:v>1172.663407</x:v>
      </x:c>
      <x:c r="N41" s="10" t="n">
        <x:v>793.125949</x:v>
      </x:c>
      <x:c r="O41" s="10" t="n">
        <x:v>817.728698</x:v>
      </x:c>
      <x:c r="P41" s="10" t="n">
        <x:v>1284.298815</x:v>
      </x:c>
      <x:c r="Q41" s="10" t="n">
        <x:v>852.316709</x:v>
      </x:c>
      <x:c r="R41" s="10" t="n">
        <x:v>209.265705</x:v>
      </x:c>
      <x:c r="S41" s="10" t="n">
        <x:v>216.040914</x:v>
      </x:c>
      <x:c r="T41" s="10" t="n">
        <x:v>271.116146</x:v>
      </x:c>
      <x:c r="U41" s="10" t="n">
        <x:v>352.408851</x:v>
      </x:c>
      <x:c r="V41" s="10" t="n">
        <x:v>496.380348</x:v>
      </x:c>
      <x:c r="W41" s="10" t="n">
        <x:v>555.490809</x:v>
      </x:c>
      <x:c r="X41" s="10" t="n">
        <x:v>585.657128</x:v>
      </x:c>
      <x:c r="Y41" s="10" t="n">
        <x:v>561.216895</x:v>
      </x:c>
      <x:c r="Z41" s="10" t="n">
        <x:v>683.227459</x:v>
      </x:c>
      <x:c r="AA41" s="10" t="n">
        <x:v>584.785134</x:v>
      </x:c>
      <x:c r="AB41" s="10" t="n">
        <x:v>736.383817</x:v>
      </x:c>
      <x:c r="AC41" s="10" t="n">
        <x:v>1202.189364</x:v>
      </x:c>
      <x:c r="AD41" s="10" t="n">
        <x:v>1567.122179</x:v>
      </x:c>
      <x:c r="AE41" s="10" t="n">
        <x:f>IF(A41=B41,0,AVERAGE(E41:Q41))</x:f>
        <x:v>566.0591142307692</x:v>
      </x:c>
      <x:c r="AF41" s="10" t="n">
        <x:f>IF(A41=B41,0,AVERAGE(R41:AD41))</x:f>
        <x:v>617.0219037692307</x:v>
      </x:c>
      <x:c r="AG41" s="10" t="n">
        <x:f>AE41+AF41</x:f>
        <x:v>1183.0810179999999</x:v>
      </x:c>
    </x:row>
    <x:row r="42">
      <x:c r="A42" t="str">
        <x:v>CA</x:v>
      </x:c>
      <x:c r="B42" t="str">
        <x:v>US</x:v>
      </x:c>
      <x:c r="C42" t="str">
        <x:v>Canada</x:v>
      </x:c>
      <x:c r="D42" t="str">
        <x:v>United States</x:v>
      </x:c>
      <x:c r="E42" s="10" t="n">
        <x:v>240597.160109</x:v>
      </x:c>
      <x:c r="F42" s="10" t="n">
        <x:v>228978.111289</x:v>
      </x:c>
      <x:c r="G42" s="10" t="n">
        <x:v>221145.339698</x:v>
      </x:c>
      <x:c r="H42" s="10" t="n">
        <x:v>235247.099634</x:v>
      </x:c>
      <x:c r="I42" s="10" t="n">
        <x:v>268958.363276</x:v>
      </x:c>
      <x:c r="J42" s="10" t="n">
        <x:v>302387.502764</x:v>
      </x:c>
      <x:c r="K42" s="10" t="n">
        <x:v>316649.359889</x:v>
      </x:c>
      <x:c r="L42" s="10" t="n">
        <x:v>331755.997793</x:v>
      </x:c>
      <x:c r="M42" s="10" t="n">
        <x:v>354656.281079</x:v>
      </x:c>
      <x:c r="N42" s="10" t="n">
        <x:v>237671.999618</x:v>
      </x:c>
      <x:c r="O42" s="10" t="n">
        <x:v>290070.607921</x:v>
      </x:c>
      <x:c r="P42" s="10" t="n">
        <x:v>332538.020389</x:v>
      </x:c>
      <x:c r="Q42" s="10" t="n">
        <x:v>339302.569112</x:v>
      </x:c>
      <x:c r="R42" s="10" t="n">
        <x:v>162888.275386</x:v>
      </x:c>
      <x:c r="S42" s="10" t="n">
        <x:v>149553.052579</x:v>
      </x:c>
      <x:c r="T42" s="10" t="n">
        <x:v>147306.624976</x:v>
      </x:c>
      <x:c r="U42" s="10" t="n">
        <x:v>153829.060242</x:v>
      </x:c>
      <x:c r="V42" s="10" t="n">
        <x:v>169802.817151</x:v>
      </x:c>
      <x:c r="W42" s="10" t="n">
        <x:v>188309.493951</x:v>
      </x:c>
      <x:c r="X42" s="10" t="n">
        <x:v>203439.89304</x:v>
      </x:c>
      <x:c r="Y42" s="10" t="n">
        <x:v>218191.843361</x:v>
      </x:c>
      <x:c r="Z42" s="10" t="n">
        <x:v>226900.836447</x:v>
      </x:c>
      <x:c r="AA42" s="10" t="n">
        <x:v>174043.651359</x:v>
      </x:c>
      <x:c r="AB42" s="10" t="n">
        <x:v>209329.454483</x:v>
      </x:c>
      <x:c r="AC42" s="10" t="n">
        <x:v>237329.393809</x:v>
      </x:c>
      <x:c r="AD42" s="10" t="n">
        <x:v>248076.950437</x:v>
      </x:c>
      <x:c r="AE42" s="10" t="n">
        <x:f>IF(A42=B42,0,AVERAGE(E42:Q42))</x:f>
        <x:v>284612.1855823846</x:v>
      </x:c>
      <x:c r="AF42" s="10" t="n">
        <x:f>IF(A42=B42,0,AVERAGE(R42:AD42))</x:f>
        <x:v>191461.6420939231</x:v>
      </x:c>
      <x:c r="AG42" s="10" t="n">
        <x:f>AE42+AF42</x:f>
        <x:v>476073.82767630764</x:v>
      </x:c>
    </x:row>
    <x:row r="43">
      <x:c r="A43" t="str">
        <x:v>CA</x:v>
      </x:c>
      <x:c r="B43" t="str">
        <x:v>ZA</x:v>
      </x:c>
      <x:c r="C43" t="str">
        <x:v>Canada</x:v>
      </x:c>
      <x:c r="D43" t="str">
        <x:v>South Africa</x:v>
      </x:c>
      <x:c r="E43" s="10" t="n">
        <x:v>160.332459</x:v>
      </x:c>
      <x:c r="F43" s="10" t="n">
        <x:v>122.18546</x:v>
      </x:c>
      <x:c r="G43" s="10" t="n">
        <x:v>158.146155</x:v>
      </x:c>
      <x:c r="H43" s="10" t="n">
        <x:v>215.450843</x:v>
      </x:c>
      <x:c r="I43" s="10" t="n">
        <x:v>281.499903</x:v>
      </x:c>
      <x:c r="J43" s="10" t="n">
        <x:v>375.581012</x:v>
      </x:c>
      <x:c r="K43" s="10" t="n">
        <x:v>578.549235</x:v>
      </x:c>
      <x:c r="L43" s="10" t="n">
        <x:v>731.811862</x:v>
      </x:c>
      <x:c r="M43" s="10" t="n">
        <x:v>886.591037</x:v>
      </x:c>
      <x:c r="N43" s="10" t="n">
        <x:v>388.716759</x:v>
      </x:c>
      <x:c r="O43" s="10" t="n">
        <x:v>455.677062</x:v>
      </x:c>
      <x:c r="P43" s="10" t="n">
        <x:v>689.735312</x:v>
      </x:c>
      <x:c r="Q43" s="10" t="n">
        <x:v>634.456623</x:v>
      </x:c>
      <x:c r="R43" s="10" t="n">
        <x:v>362.495931</x:v>
      </x:c>
      <x:c r="S43" s="10" t="n">
        <x:v>309.198236</x:v>
      </x:c>
      <x:c r="T43" s="10" t="n">
        <x:v>330.605401</x:v>
      </x:c>
      <x:c r="U43" s="10" t="n">
        <x:v>383.767511</x:v>
      </x:c>
      <x:c r="V43" s="10" t="n">
        <x:v>527.575791</x:v>
      </x:c>
      <x:c r="W43" s="10" t="n">
        <x:v>610.245077</x:v>
      </x:c>
      <x:c r="X43" s="10" t="n">
        <x:v>763.133838</x:v>
      </x:c>
      <x:c r="Y43" s="10" t="n">
        <x:v>1080.430494</x:v>
      </x:c>
      <x:c r="Z43" s="10" t="n">
        <x:v>842.966584</x:v>
      </x:c>
      <x:c r="AA43" s="10" t="n">
        <x:v>590.140776</x:v>
      </x:c>
      <x:c r="AB43" s="10" t="n">
        <x:v>736.729252</x:v>
      </x:c>
      <x:c r="AC43" s="10" t="n">
        <x:v>991.952877</x:v>
      </x:c>
      <x:c r="AD43" s="10" t="n">
        <x:v>734.312078</x:v>
      </x:c>
      <x:c r="AE43" s="10" t="n">
        <x:f>IF(A43=B43,0,AVERAGE(E43:Q43))</x:f>
        <x:v>436.8256709230769</x:v>
      </x:c>
      <x:c r="AF43" s="10" t="n">
        <x:f>IF(A43=B43,0,AVERAGE(R43:AD43))</x:f>
        <x:v>635.6579881538462</x:v>
      </x:c>
      <x:c r="AG43" s="10" t="n">
        <x:f>AE43+AF43</x:f>
        <x:v>1072.4836590769232</x:v>
      </x:c>
    </x:row>
    <x:row r="44">
      <x:c r="A44" t="str">
        <x:v>CH</x:v>
      </x:c>
      <x:c r="B44" t="str">
        <x:v>AU</x:v>
      </x:c>
      <x:c r="C44" t="str">
        <x:v>Switzerland</x:v>
      </x:c>
      <x:c r="D44" t="str">
        <x:v>Australia</x:v>
      </x:c>
      <x:c r="E44" s="10" t="n">
        <x:v>624.387505</x:v>
      </x:c>
      <x:c r="F44" s="10" t="n">
        <x:v>652.515463</x:v>
      </x:c>
      <x:c r="G44" s="10" t="n">
        <x:v>677.160993</x:v>
      </x:c>
      <x:c r="H44" s="10" t="n">
        <x:v>779.500042</x:v>
      </x:c>
      <x:c r="I44" s="10" t="n">
        <x:v>1034.994254</x:v>
      </x:c>
      <x:c r="J44" s="10" t="n">
        <x:v>1149.534638</x:v>
      </x:c>
      <x:c r="K44" s="10" t="n">
        <x:v>1312.817797</x:v>
      </x:c>
      <x:c r="L44" s="10" t="n">
        <x:v>1651.89524</x:v>
      </x:c>
      <x:c r="M44" s="10" t="n">
        <x:v>1982.916135</x:v>
      </x:c>
      <x:c r="N44" s="10" t="n">
        <x:v>1818.980299</x:v>
      </x:c>
      <x:c r="O44" s="10" t="n">
        <x:v>2097.299548</x:v>
      </x:c>
      <x:c r="P44" s="10" t="n">
        <x:v>2821.319604</x:v>
      </x:c>
      <x:c r="Q44" s="10" t="n">
        <x:v>3272.578424</x:v>
      </x:c>
      <x:c r="R44" s="10" t="n">
        <x:v>117.789412</x:v>
      </x:c>
      <x:c r="S44" s="10" t="n">
        <x:v>101.811552</x:v>
      </x:c>
      <x:c r="T44" s="10" t="n">
        <x:v>103.239419</x:v>
      </x:c>
      <x:c r="U44" s="10" t="n">
        <x:v>114.937559</x:v>
      </x:c>
      <x:c r="V44" s="10" t="n">
        <x:v>122.626713</x:v>
      </x:c>
      <x:c r="W44" s="10" t="n">
        <x:v>133.328393</x:v>
      </x:c>
      <x:c r="X44" s="10" t="n">
        <x:v>141.508262</x:v>
      </x:c>
      <x:c r="Y44" s="10" t="n">
        <x:v>158.917596</x:v>
      </x:c>
      <x:c r="Z44" s="10" t="n">
        <x:v>217.009836</x:v>
      </x:c>
      <x:c r="AA44" s="10" t="n">
        <x:v>261.073766</x:v>
      </x:c>
      <x:c r="AB44" s="10" t="n">
        <x:v>306.26572</x:v>
      </x:c>
      <x:c r="AC44" s="10" t="n">
        <x:v>555.480182</x:v>
      </x:c>
      <x:c r="AD44" s="10" t="n">
        <x:v>828.930757</x:v>
      </x:c>
      <x:c r="AE44" s="10" t="n">
        <x:f>IF(A44=B44,0,AVERAGE(E44:Q44))</x:f>
        <x:v>1528.9153801538462</x:v>
      </x:c>
      <x:c r="AF44" s="10" t="n">
        <x:f>IF(A44=B44,0,AVERAGE(R44:AD44))</x:f>
        <x:v>243.30147438461537</x:v>
      </x:c>
      <x:c r="AG44" s="10" t="n">
        <x:f>AE44+AF44</x:f>
        <x:v>1772.2168545384616</x:v>
      </x:c>
    </x:row>
    <x:row r="45">
      <x:c r="A45" t="str">
        <x:v>CH</x:v>
      </x:c>
      <x:c r="B45" t="str">
        <x:v>BR</x:v>
      </x:c>
      <x:c r="C45" t="str">
        <x:v>Switzerland</x:v>
      </x:c>
      <x:c r="D45" t="str">
        <x:v>Brazil</x:v>
      </x:c>
      <x:c r="E45" s="10" t="n">
        <x:v>747.282621</x:v>
      </x:c>
      <x:c r="F45" s="10" t="n">
        <x:v>732.573022</x:v>
      </x:c>
      <x:c r="G45" s="10" t="n">
        <x:v>708.80708</x:v>
      </x:c>
      <x:c r="H45" s="10" t="n">
        <x:v>864.888965</x:v>
      </x:c>
      <x:c r="I45" s="10" t="n">
        <x:v>1005.887042</x:v>
      </x:c>
      <x:c r="J45" s="10" t="n">
        <x:v>914.910223</x:v>
      </x:c>
      <x:c r="K45" s="10" t="n">
        <x:v>1164.469573</x:v>
      </x:c>
      <x:c r="L45" s="10" t="n">
        <x:v>1555.224031</x:v>
      </x:c>
      <x:c r="M45" s="10" t="n">
        <x:v>2230.039234</x:v>
      </x:c>
      <x:c r="N45" s="10" t="n">
        <x:v>1847.316226</x:v>
      </x:c>
      <x:c r="O45" s="10" t="n">
        <x:v>2219.221097</x:v>
      </x:c>
      <x:c r="P45" s="10" t="n">
        <x:v>2519.398578</x:v>
      </x:c>
      <x:c r="Q45" s="10" t="n">
        <x:v>2508.542296</x:v>
      </x:c>
      <x:c r="R45" s="10" t="n">
        <x:v>506.655648</x:v>
      </x:c>
      <x:c r="S45" s="10" t="n">
        <x:v>448.683184</x:v>
      </x:c>
      <x:c r="T45" s="10" t="n">
        <x:v>457.2902</x:v>
      </x:c>
      <x:c r="U45" s="10" t="n">
        <x:v>335.395372</x:v>
      </x:c>
      <x:c r="V45" s="10" t="n">
        <x:v>407.964391</x:v>
      </x:c>
      <x:c r="W45" s="10" t="n">
        <x:v>516.006435</x:v>
      </x:c>
      <x:c r="X45" s="10" t="n">
        <x:v>621.610208</x:v>
      </x:c>
      <x:c r="Y45" s="10" t="n">
        <x:v>831.066004</x:v>
      </x:c>
      <x:c r="Z45" s="10" t="n">
        <x:v>909.22371</x:v>
      </x:c>
      <x:c r="AA45" s="10" t="n">
        <x:v>608.185168</x:v>
      </x:c>
      <x:c r="AB45" s="10" t="n">
        <x:v>817.671306</x:v>
      </x:c>
      <x:c r="AC45" s="10" t="n">
        <x:v>1039.3008</x:v>
      </x:c>
      <x:c r="AD45" s="10" t="n">
        <x:v>2118.951918</x:v>
      </x:c>
      <x:c r="AE45" s="10" t="n">
        <x:f>IF(A45=B45,0,AVERAGE(E45:Q45))</x:f>
        <x:v>1462.9661529230766</x:v>
      </x:c>
      <x:c r="AF45" s="10" t="n">
        <x:f>IF(A45=B45,0,AVERAGE(R45:AD45))</x:f>
        <x:v>739.846488</x:v>
      </x:c>
      <x:c r="AG45" s="10" t="n">
        <x:f>AE45+AF45</x:f>
        <x:v>2202.8126409230767</x:v>
      </x:c>
    </x:row>
    <x:row r="46">
      <x:c r="A46" t="str">
        <x:v>CH</x:v>
      </x:c>
      <x:c r="B46" t="str">
        <x:v>CA</x:v>
      </x:c>
      <x:c r="C46" t="str">
        <x:v>Switzerland</x:v>
      </x:c>
      <x:c r="D46" t="str">
        <x:v>Canada</x:v>
      </x:c>
      <x:c r="E46" s="10" t="n">
        <x:v>740.766421</x:v>
      </x:c>
      <x:c r="F46" s="10" t="n">
        <x:v>815.954078</x:v>
      </x:c>
      <x:c r="G46" s="10" t="n">
        <x:v>1000.615796</x:v>
      </x:c>
      <x:c r="H46" s="10" t="n">
        <x:v>1067.567012</x:v>
      </x:c>
      <x:c r="I46" s="10" t="n">
        <x:v>1603.726069</x:v>
      </x:c>
      <x:c r="J46" s="10" t="n">
        <x:v>1821.916025</x:v>
      </x:c>
      <x:c r="K46" s="10" t="n">
        <x:v>2195.822739</x:v>
      </x:c>
      <x:c r="L46" s="10" t="n">
        <x:v>2412.873806</x:v>
      </x:c>
      <x:c r="M46" s="10" t="n">
        <x:v>2234.201656</x:v>
      </x:c>
      <x:c r="N46" s="10" t="n">
        <x:v>2323.46209</x:v>
      </x:c>
      <x:c r="O46" s="10" t="n">
        <x:v>2772.352873</x:v>
      </x:c>
      <x:c r="P46" s="10" t="n">
        <x:v>3126.582754</x:v>
      </x:c>
      <x:c r="Q46" s="10" t="n">
        <x:v>3747.697233</x:v>
      </x:c>
      <x:c r="R46" s="10" t="n">
        <x:v>342.764435</x:v>
      </x:c>
      <x:c r="S46" s="10" t="n">
        <x:v>301.197071</x:v>
      </x:c>
      <x:c r="T46" s="10" t="n">
        <x:v>299.500905</x:v>
      </x:c>
      <x:c r="U46" s="10" t="n">
        <x:v>396.02396</x:v>
      </x:c>
      <x:c r="V46" s="10" t="n">
        <x:v>539.304291</x:v>
      </x:c>
      <x:c r="W46" s="10" t="n">
        <x:v>660.421906</x:v>
      </x:c>
      <x:c r="X46" s="10" t="n">
        <x:v>805.632494</x:v>
      </x:c>
      <x:c r="Y46" s="10" t="n">
        <x:v>951.42288</x:v>
      </x:c>
      <x:c r="Z46" s="10" t="n">
        <x:v>1052.246139</x:v>
      </x:c>
      <x:c r="AA46" s="10" t="n">
        <x:v>759.22388</x:v>
      </x:c>
      <x:c r="AB46" s="10" t="n">
        <x:v>919.961706</x:v>
      </x:c>
      <x:c r="AC46" s="10" t="n">
        <x:v>618.258044</x:v>
      </x:c>
      <x:c r="AD46" s="10" t="n">
        <x:v>1380.871058</x:v>
      </x:c>
      <x:c r="AE46" s="10" t="n">
        <x:f>IF(A46=B46,0,AVERAGE(E46:Q46))</x:f>
        <x:v>1989.5029655384615</x:v>
      </x:c>
      <x:c r="AF46" s="10" t="n">
        <x:f>IF(A46=B46,0,AVERAGE(R46:AD46))</x:f>
        <x:v>694.3714437692307</x:v>
      </x:c>
      <x:c r="AG46" s="10" t="n">
        <x:f>AE46+AF46</x:f>
        <x:v>2683.874409307692</x:v>
      </x:c>
    </x:row>
    <x:row r="47">
      <x:c r="A47" t="str">
        <x:v>CH</x:v>
      </x:c>
      <x:c r="B47" t="str">
        <x:v>CH</x:v>
      </x:c>
      <x:c r="C47" t="str">
        <x:v>Switzerland</x:v>
      </x:c>
      <x:c r="D47" t="str">
        <x:v>Switzerland</x:v>
      </x:c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 t="n">
        <x:f>IF(A47=B47,0,AVERAGE(E47:Q47))</x:f>
        <x:v>0</x:v>
      </x:c>
      <x:c r="AF47" s="10" t="n">
        <x:f>IF(A47=B47,0,AVERAGE(R47:AD47))</x:f>
        <x:v>0</x:v>
      </x:c>
      <x:c r="AG47" s="10" t="n">
        <x:f>AE47+AF47</x:f>
        <x:v>0</x:v>
      </x:c>
    </x:row>
    <x:row r="48">
      <x:c r="A48" t="str">
        <x:v>CH</x:v>
      </x:c>
      <x:c r="B48" t="str">
        <x:v>CN</x:v>
      </x:c>
      <x:c r="C48" t="str">
        <x:v>Switzerland</x:v>
      </x:c>
      <x:c r="D48" t="str">
        <x:v>China, People's Republic of</x:v>
      </x:c>
      <x:c r="E48" s="10" t="n">
        <x:v>830.544112</x:v>
      </x:c>
      <x:c r="F48" s="10" t="n">
        <x:v>988.470608</x:v>
      </x:c>
      <x:c r="G48" s="10" t="n">
        <x:v>1328.358699</x:v>
      </x:c>
      <x:c r="H48" s="10" t="n">
        <x:v>1845.405542</x:v>
      </x:c>
      <x:c r="I48" s="10" t="n">
        <x:v>2498.592059</x:v>
      </x:c>
      <x:c r="J48" s="10" t="n">
        <x:v>2784.163256</x:v>
      </x:c>
      <x:c r="K48" s="10" t="n">
        <x:v>3274.307079</x:v>
      </x:c>
      <x:c r="L48" s="10" t="n">
        <x:v>4514.817773</x:v>
      </x:c>
      <x:c r="M48" s="10" t="n">
        <x:v>5678.603075</x:v>
      </x:c>
      <x:c r="N48" s="10" t="n">
        <x:v>5086.067973</x:v>
      </x:c>
      <x:c r="O48" s="10" t="n">
        <x:v>7206.08246</x:v>
      </x:c>
      <x:c r="P48" s="10" t="n">
        <x:v>9994.529113</x:v>
      </x:c>
      <x:c r="Q48" s="10" t="n">
        <x:v>9931.000344</x:v>
      </x:c>
      <x:c r="R48" s="10" t="n">
        <x:v>1362.204778</x:v>
      </x:c>
      <x:c r="S48" s="10" t="n">
        <x:v>1337.784136</x:v>
      </x:c>
      <x:c r="T48" s="10" t="n">
        <x:v>1421.513734</x:v>
      </x:c>
      <x:c r="U48" s="10" t="n">
        <x:v>1799.272961</x:v>
      </x:c>
      <x:c r="V48" s="10" t="n">
        <x:v>2284.606382</x:v>
      </x:c>
      <x:c r="W48" s="10" t="n">
        <x:v>2713.151306</x:v>
      </x:c>
      <x:c r="X48" s="10" t="n">
        <x:v>3135.473369</x:v>
      </x:c>
      <x:c r="Y48" s="10" t="n">
        <x:v>3983.970831</x:v>
      </x:c>
      <x:c r="Z48" s="10" t="n">
        <x:v>4611.768973</x:v>
      </x:c>
      <x:c r="AA48" s="10" t="n">
        <x:v>4759.650082</x:v>
      </x:c>
      <x:c r="AB48" s="10" t="n">
        <x:v>5855.513891</x:v>
      </x:c>
      <x:c r="AC48" s="10" t="n">
        <x:v>7108.353331</x:v>
      </x:c>
      <x:c r="AD48" s="10" t="n">
        <x:v>11063.176475</x:v>
      </x:c>
      <x:c r="AE48" s="10" t="n">
        <x:f>IF(A48=B48,0,AVERAGE(E48:Q48))</x:f>
        <x:v>4304.687853307692</x:v>
      </x:c>
      <x:c r="AF48" s="10" t="n">
        <x:f>IF(A48=B48,0,AVERAGE(R48:AD48))</x:f>
        <x:v>3956.6492499230767</x:v>
      </x:c>
      <x:c r="AG48" s="10" t="n">
        <x:f>AE48+AF48</x:f>
        <x:v>8261.33710323077</x:v>
      </x:c>
    </x:row>
    <x:row r="49">
      <x:c r="A49" t="str">
        <x:v>CH</x:v>
      </x:c>
      <x:c r="B49" t="str">
        <x:v>EA</x:v>
      </x:c>
      <x:c r="C49" t="str">
        <x:v>Switzerland</x:v>
      </x:c>
      <x:c r="D49" t="str">
        <x:v>Euro Area (EA)</x:v>
      </x:c>
      <x:c r="E49" s="10" t="n">
        <x:v>41852.889301</x:v>
      </x:c>
      <x:c r="F49" s="10" t="n">
        <x:v>43752.032357</x:v>
      </x:c>
      <x:c r="G49" s="10" t="n">
        <x:v>48883.727006</x:v>
      </x:c>
      <x:c r="H49" s="10" t="n">
        <x:v>56631.426294</x:v>
      </x:c>
      <x:c r="I49" s="10" t="n">
        <x:v>65806.393358</x:v>
      </x:c>
      <x:c r="J49" s="10" t="n">
        <x:v>69610.653663</x:v>
      </x:c>
      <x:c r="K49" s="10" t="n">
        <x:v>77315.929118</x:v>
      </x:c>
      <x:c r="L49" s="10" t="n">
        <x:v>90129.076456</x:v>
      </x:c>
      <x:c r="M49" s="10" t="n">
        <x:v>102956.043539</x:v>
      </x:c>
      <x:c r="N49" s="10" t="n">
        <x:v>87391.959219</x:v>
      </x:c>
      <x:c r="O49" s="10" t="n">
        <x:v>95259.3915</x:v>
      </x:c>
      <x:c r="P49" s="10" t="n">
        <x:v>113511.737591</x:v>
      </x:c>
      <x:c r="Q49" s="10" t="n">
        <x:v>119238.916275</x:v>
      </x:c>
      <x:c r="R49" s="10" t="n">
        <x:v>55209.605463</x:v>
      </x:c>
      <x:c r="S49" s="10" t="n">
        <x:v>58046.306952</x:v>
      </x:c>
      <x:c r="T49" s="10" t="n">
        <x:v>61829.806765</x:v>
      </x:c>
      <x:c r="U49" s="10" t="n">
        <x:v>73256.981577</x:v>
      </x:c>
      <x:c r="V49" s="10" t="n">
        <x:v>84623.133708</x:v>
      </x:c>
      <x:c r="W49" s="10" t="n">
        <x:v>91463.1622</x:v>
      </x:c>
      <x:c r="X49" s="10" t="n">
        <x:v>100604.669728</x:v>
      </x:c>
      <x:c r="Y49" s="10" t="n">
        <x:v>115413.941267</x:v>
      </x:c>
      <x:c r="Z49" s="10" t="n">
        <x:v>130883.044543</x:v>
      </x:c>
      <x:c r="AA49" s="10" t="n">
        <x:v>109815.823388</x:v>
      </x:c>
      <x:c r="AB49" s="10" t="n">
        <x:v>122989.287126</x:v>
      </x:c>
      <x:c r="AC49" s="10" t="n">
        <x:v>147013.07583</x:v>
      </x:c>
      <x:c r="AD49" s="10" t="n">
        <x:v>158076.790855</x:v>
      </x:c>
      <x:c r="AE49" s="10" t="n">
        <x:f>IF(A49=B49,0,AVERAGE(E49:Q49))</x:f>
        <x:v>77872.32120592307</x:v>
      </x:c>
      <x:c r="AF49" s="10" t="n">
        <x:f>IF(A49=B49,0,AVERAGE(R49:AD49))</x:f>
        <x:v>100709.66380015387</x:v>
      </x:c>
      <x:c r="AG49" s="10" t="n">
        <x:f>AE49+AF49</x:f>
        <x:v>178581.98500607692</x:v>
      </x:c>
    </x:row>
    <x:row r="50">
      <x:c r="A50" t="str">
        <x:v>CH</x:v>
      </x:c>
      <x:c r="B50" t="str">
        <x:v>UK</x:v>
      </x:c>
      <x:c r="C50" t="str">
        <x:v>Switzerland</x:v>
      </x:c>
      <x:c r="D50" t="str">
        <x:v>United Kingdom</x:v>
      </x:c>
      <x:c r="E50" s="10" t="n">
        <x:v>4552.60368</x:v>
      </x:c>
      <x:c r="F50" s="10" t="n">
        <x:v>4549.183431</x:v>
      </x:c>
      <x:c r="G50" s="10" t="n">
        <x:v>4676.433815</x:v>
      </x:c>
      <x:c r="H50" s="10" t="n">
        <x:v>5025.979907</x:v>
      </x:c>
      <x:c r="I50" s="10" t="n">
        <x:v>6173.556898</x:v>
      </x:c>
      <x:c r="J50" s="10" t="n">
        <x:v>7069.862259</x:v>
      </x:c>
      <x:c r="K50" s="10" t="n">
        <x:v>7141.465733</x:v>
      </x:c>
      <x:c r="L50" s="10" t="n">
        <x:v>8771.602532</x:v>
      </x:c>
      <x:c r="M50" s="10" t="n">
        <x:v>10517.6405</x:v>
      </x:c>
      <x:c r="N50" s="10" t="n">
        <x:v>8791.200684</x:v>
      </x:c>
      <x:c r="O50" s="10" t="n">
        <x:v>11592.283316</x:v>
      </x:c>
      <x:c r="P50" s="10" t="n">
        <x:v>11325.202202</x:v>
      </x:c>
      <x:c r="Q50" s="10" t="n">
        <x:v>30212.451807</x:v>
      </x:c>
      <x:c r="R50" s="10" t="n">
        <x:v>4813.459462</x:v>
      </x:c>
      <x:c r="S50" s="10" t="n">
        <x:v>4847.347107</x:v>
      </x:c>
      <x:c r="T50" s="10" t="n">
        <x:v>4236.316269</x:v>
      </x:c>
      <x:c r="U50" s="10" t="n">
        <x:v>4165.335747</x:v>
      </x:c>
      <x:c r="V50" s="10" t="n">
        <x:v>4698.162376</x:v>
      </x:c>
      <x:c r="W50" s="10" t="n">
        <x:v>5582.320704</x:v>
      </x:c>
      <x:c r="X50" s="10" t="n">
        <x:v>5537.215641</x:v>
      </x:c>
      <x:c r="Y50" s="10" t="n">
        <x:v>6703.850746</x:v>
      </x:c>
      <x:c r="Z50" s="10" t="n">
        <x:v>6903.314071</x:v>
      </x:c>
      <x:c r="AA50" s="10" t="n">
        <x:v>5956.202055</x:v>
      </x:c>
      <x:c r="AB50" s="10" t="n">
        <x:v>6991.85123</x:v>
      </x:c>
      <x:c r="AC50" s="10" t="n">
        <x:v>7435.531827</x:v>
      </x:c>
      <x:c r="AD50" s="10" t="n">
        <x:v>14144.983913</x:v>
      </x:c>
      <x:c r="AE50" s="10" t="n">
        <x:f>IF(A50=B50,0,AVERAGE(E50:Q50))</x:f>
        <x:v>9261.497443384616</x:v>
      </x:c>
      <x:c r="AF50" s="10" t="n">
        <x:f>IF(A50=B50,0,AVERAGE(R50:AD50))</x:f>
        <x:v>6308.914703692309</x:v>
      </x:c>
      <x:c r="AG50" s="10" t="n">
        <x:f>AE50+AF50</x:f>
        <x:v>15570.412147076924</x:v>
      </x:c>
    </x:row>
    <x:row r="51">
      <x:c r="A51" t="str">
        <x:v>CH</x:v>
      </x:c>
      <x:c r="B51" t="str">
        <x:v>JP</x:v>
      </x:c>
      <x:c r="C51" t="str">
        <x:v>Switzerland</x:v>
      </x:c>
      <x:c r="D51" t="str">
        <x:v>Japan</x:v>
      </x:c>
      <x:c r="E51" s="10" t="n">
        <x:v>3414.901017</x:v>
      </x:c>
      <x:c r="F51" s="10" t="n">
        <x:v>3189.751045</x:v>
      </x:c>
      <x:c r="G51" s="10" t="n">
        <x:v>3325.099635</x:v>
      </x:c>
      <x:c r="H51" s="10" t="n">
        <x:v>4016.585684</x:v>
      </x:c>
      <x:c r="I51" s="10" t="n">
        <x:v>4601.773494</x:v>
      </x:c>
      <x:c r="J51" s="10" t="n">
        <x:v>4731.931989</x:v>
      </x:c>
      <x:c r="K51" s="10" t="n">
        <x:v>5364.600259</x:v>
      </x:c>
      <x:c r="L51" s="10" t="n">
        <x:v>5606.336227</x:v>
      </x:c>
      <x:c r="M51" s="10" t="n">
        <x:v>6518.882778</x:v>
      </x:c>
      <x:c r="N51" s="10" t="n">
        <x:v>6583.266934</x:v>
      </x:c>
      <x:c r="O51" s="10" t="n">
        <x:v>6461.680296</x:v>
      </x:c>
      <x:c r="P51" s="10" t="n">
        <x:v>7517.633557</x:v>
      </x:c>
      <x:c r="Q51" s="10" t="n">
        <x:v>7639.98144</x:v>
      </x:c>
      <x:c r="R51" s="10" t="n">
        <x:v>2324.361216</x:v>
      </x:c>
      <x:c r="S51" s="10" t="n">
        <x:v>2009.253453</x:v>
      </x:c>
      <x:c r="T51" s="10" t="n">
        <x:v>1757.483615</x:v>
      </x:c>
      <x:c r="U51" s="10" t="n">
        <x:v>2113.219764</x:v>
      </x:c>
      <x:c r="V51" s="10" t="n">
        <x:v>2450.036251</x:v>
      </x:c>
      <x:c r="W51" s="10" t="n">
        <x:v>2343.531081</x:v>
      </x:c>
      <x:c r="X51" s="10" t="n">
        <x:v>2476.250856</x:v>
      </x:c>
      <x:c r="Y51" s="10" t="n">
        <x:v>2918.51645</x:v>
      </x:c>
      <x:c r="Z51" s="10" t="n">
        <x:v>3894.901985</x:v>
      </x:c>
      <x:c r="AA51" s="10" t="n">
        <x:v>3310.460878</x:v>
      </x:c>
      <x:c r="AB51" s="10" t="n">
        <x:v>3543.321638</x:v>
      </x:c>
      <x:c r="AC51" s="10" t="n">
        <x:v>4676.631914</x:v>
      </x:c>
      <x:c r="AD51" s="10" t="n">
        <x:v>5050.462081</x:v>
      </x:c>
      <x:c r="AE51" s="10" t="n">
        <x:f>IF(A51=B51,0,AVERAGE(E51:Q51))</x:f>
        <x:v>5305.5711042307685</x:v>
      </x:c>
      <x:c r="AF51" s="10" t="n">
        <x:f>IF(A51=B51,0,AVERAGE(R51:AD51))</x:f>
        <x:v>2989.8793216923077</x:v>
      </x:c>
      <x:c r="AG51" s="10" t="n">
        <x:f>AE51+AF51</x:f>
        <x:v>8295.450425923076</x:v>
      </x:c>
    </x:row>
    <x:row r="52">
      <x:c r="A52" t="str">
        <x:v>CH</x:v>
      </x:c>
      <x:c r="B52" t="str">
        <x:v>KR</x:v>
      </x:c>
      <x:c r="C52" t="str">
        <x:v>Switzerland</x:v>
      </x:c>
      <x:c r="D52" t="str">
        <x:v>Korea, Republic of</x:v>
      </x:c>
      <x:c r="E52" s="10" t="n">
        <x:v>626.707393</x:v>
      </x:c>
      <x:c r="F52" s="10" t="n">
        <x:v>627.200842</x:v>
      </x:c>
      <x:c r="G52" s="10" t="n">
        <x:v>706.5173</x:v>
      </x:c>
      <x:c r="H52" s="10" t="n">
        <x:v>820.557306</x:v>
      </x:c>
      <x:c r="I52" s="10" t="n">
        <x:v>1055.858621</x:v>
      </x:c>
      <x:c r="J52" s="10" t="n">
        <x:v>1035.385863</x:v>
      </x:c>
      <x:c r="K52" s="10" t="n">
        <x:v>1341.084089</x:v>
      </x:c>
      <x:c r="L52" s="10" t="n">
        <x:v>1578.684211</x:v>
      </x:c>
      <x:c r="M52" s="10" t="n">
        <x:v>1837.185716</x:v>
      </x:c>
      <x:c r="N52" s="10" t="n">
        <x:v>1754.570459</x:v>
      </x:c>
      <x:c r="O52" s="10" t="n">
        <x:v>2183.120762</x:v>
      </x:c>
      <x:c r="P52" s="10" t="n">
        <x:v>2620.899287</x:v>
      </x:c>
      <x:c r="Q52" s="10" t="n">
        <x:v>2954.839217</x:v>
      </x:c>
      <x:c r="R52" s="10" t="n">
        <x:v>315.555602</x:v>
      </x:c>
      <x:c r="S52" s="10" t="n">
        <x:v>338.076787</x:v>
      </x:c>
      <x:c r="T52" s="10" t="n">
        <x:v>355.134879</x:v>
      </x:c>
      <x:c r="U52" s="10" t="n">
        <x:v>386.942181</x:v>
      </x:c>
      <x:c r="V52" s="10" t="n">
        <x:v>492.564589</x:v>
      </x:c>
      <x:c r="W52" s="10" t="n">
        <x:v>601.923283</x:v>
      </x:c>
      <x:c r="X52" s="10" t="n">
        <x:v>614.527555</x:v>
      </x:c>
      <x:c r="Y52" s="10" t="n">
        <x:v>664.72087</x:v>
      </x:c>
      <x:c r="Z52" s="10" t="n">
        <x:v>636.465295</x:v>
      </x:c>
      <x:c r="AA52" s="10" t="n">
        <x:v>381.141122</x:v>
      </x:c>
      <x:c r="AB52" s="10" t="n">
        <x:v>422.773814</x:v>
      </x:c>
      <x:c r="AC52" s="10" t="n">
        <x:v>558.797713</x:v>
      </x:c>
      <x:c r="AD52" s="10" t="n">
        <x:v>880.745293</x:v>
      </x:c>
      <x:c r="AE52" s="10" t="n">
        <x:f>IF(A52=B52,0,AVERAGE(E52:Q52))</x:f>
        <x:v>1472.5085435384617</x:v>
      </x:c>
      <x:c r="AF52" s="10" t="n">
        <x:f>IF(A52=B52,0,AVERAGE(R52:AD52))</x:f>
        <x:v>511.4899217692308</x:v>
      </x:c>
      <x:c r="AG52" s="10" t="n">
        <x:f>AE52+AF52</x:f>
        <x:v>1983.9984653076926</x:v>
      </x:c>
    </x:row>
    <x:row r="53">
      <x:c r="A53" t="str">
        <x:v>CH</x:v>
      </x:c>
      <x:c r="B53" t="str">
        <x:v>NO</x:v>
      </x:c>
      <x:c r="C53" t="str">
        <x:v>Switzerland</x:v>
      </x:c>
      <x:c r="D53" t="str">
        <x:v>Norway</x:v>
      </x:c>
      <x:c r="E53" s="10" t="n">
        <x:v>310.979219</x:v>
      </x:c>
      <x:c r="F53" s="10" t="n">
        <x:v>360.456591</x:v>
      </x:c>
      <x:c r="G53" s="10" t="n">
        <x:v>346.871436</x:v>
      </x:c>
      <x:c r="H53" s="10" t="n">
        <x:v>378.40674</x:v>
      </x:c>
      <x:c r="I53" s="10" t="n">
        <x:v>428.029631</x:v>
      </x:c>
      <x:c r="J53" s="10" t="n">
        <x:v>480.351347</x:v>
      </x:c>
      <x:c r="K53" s="10" t="n">
        <x:v>567.373724</x:v>
      </x:c>
      <x:c r="L53" s="10" t="n">
        <x:v>697.307995</x:v>
      </x:c>
      <x:c r="M53" s="10" t="n">
        <x:v>980.037135</x:v>
      </x:c>
      <x:c r="N53" s="10" t="n">
        <x:v>699.796376</x:v>
      </x:c>
      <x:c r="O53" s="10" t="n">
        <x:v>719.151995</x:v>
      </x:c>
      <x:c r="P53" s="10" t="n">
        <x:v>960.773065</x:v>
      </x:c>
      <x:c r="Q53" s="10" t="n">
        <x:v>1116.940358</x:v>
      </x:c>
      <x:c r="R53" s="10" t="n">
        <x:v>168.378335</x:v>
      </x:c>
      <x:c r="S53" s="10" t="n">
        <x:v>174.903295</x:v>
      </x:c>
      <x:c r="T53" s="10" t="n">
        <x:v>191.865814</x:v>
      </x:c>
      <x:c r="U53" s="10" t="n">
        <x:v>181.79303</x:v>
      </x:c>
      <x:c r="V53" s="10" t="n">
        <x:v>228.374611</x:v>
      </x:c>
      <x:c r="W53" s="10" t="n">
        <x:v>241.707722</x:v>
      </x:c>
      <x:c r="X53" s="10" t="n">
        <x:v>273.79854</x:v>
      </x:c>
      <x:c r="Y53" s="10" t="n">
        <x:v>339.32771</x:v>
      </x:c>
      <x:c r="Z53" s="10" t="n">
        <x:v>310.175585</x:v>
      </x:c>
      <x:c r="AA53" s="10" t="n">
        <x:v>254.915843</x:v>
      </x:c>
      <x:c r="AB53" s="10" t="n">
        <x:v>277.754218</x:v>
      </x:c>
      <x:c r="AC53" s="10" t="n">
        <x:v>345.296963</x:v>
      </x:c>
      <x:c r="AD53" s="10" t="n">
        <x:v>591.153743</x:v>
      </x:c>
      <x:c r="AE53" s="10" t="n">
        <x:f>IF(A53=B53,0,AVERAGE(E53:Q53))</x:f>
        <x:v>618.9596624615385</x:v>
      </x:c>
      <x:c r="AF53" s="10" t="n">
        <x:f>IF(A53=B53,0,AVERAGE(R53:AD53))</x:f>
        <x:v>275.34195453846155</x:v>
      </x:c>
      <x:c r="AG53" s="10" t="n">
        <x:f>AE53+AF53</x:f>
        <x:v>894.3016170000001</x:v>
      </x:c>
    </x:row>
    <x:row r="54">
      <x:c r="A54" t="str">
        <x:v>CH</x:v>
      </x:c>
      <x:c r="B54" t="str">
        <x:v>SG</x:v>
      </x:c>
      <x:c r="C54" t="str">
        <x:v>Switzerland</x:v>
      </x:c>
      <x:c r="D54" t="str">
        <x:v>Singapore</x:v>
      </x:c>
      <x:c r="E54" s="10" t="n">
        <x:v>947.093318</x:v>
      </x:c>
      <x:c r="F54" s="10" t="n">
        <x:v>936.389976</x:v>
      </x:c>
      <x:c r="G54" s="10" t="n">
        <x:v>981.750897</x:v>
      </x:c>
      <x:c r="H54" s="10" t="n">
        <x:v>1013.876377</x:v>
      </x:c>
      <x:c r="I54" s="10" t="n">
        <x:v>1206.879494</x:v>
      </x:c>
      <x:c r="J54" s="10" t="n">
        <x:v>1311.504604</x:v>
      </x:c>
      <x:c r="K54" s="10" t="n">
        <x:v>1473.05947</x:v>
      </x:c>
      <x:c r="L54" s="10" t="n">
        <x:v>1757.443657</x:v>
      </x:c>
      <x:c r="M54" s="10" t="n">
        <x:v>2121.340607</x:v>
      </x:c>
      <x:c r="N54" s="10" t="n">
        <x:v>1929.247258</x:v>
      </x:c>
      <x:c r="O54" s="10" t="n">
        <x:v>2789.781922</x:v>
      </x:c>
      <x:c r="P54" s="10" t="n">
        <x:v>3555.841034</x:v>
      </x:c>
      <x:c r="Q54" s="10" t="n">
        <x:v>7023.535939</x:v>
      </x:c>
      <x:c r="R54" s="10" t="n">
        <x:v>168.732524</x:v>
      </x:c>
      <x:c r="S54" s="10" t="n">
        <x:v>187.634857</x:v>
      </x:c>
      <x:c r="T54" s="10" t="n">
        <x:v>189.921271</x:v>
      </x:c>
      <x:c r="U54" s="10" t="n">
        <x:v>234.081391</x:v>
      </x:c>
      <x:c r="V54" s="10" t="n">
        <x:v>261.891448</x:v>
      </x:c>
      <x:c r="W54" s="10" t="n">
        <x:v>288.654977</x:v>
      </x:c>
      <x:c r="X54" s="10" t="n">
        <x:v>331.509587</x:v>
      </x:c>
      <x:c r="Y54" s="10" t="n">
        <x:v>398.290348</x:v>
      </x:c>
      <x:c r="Z54" s="10" t="n">
        <x:v>485.672097</x:v>
      </x:c>
      <x:c r="AA54" s="10" t="n">
        <x:v>573.807912</x:v>
      </x:c>
      <x:c r="AB54" s="10" t="n">
        <x:v>829.762487</x:v>
      </x:c>
      <x:c r="AC54" s="10" t="n">
        <x:v>752.471461</x:v>
      </x:c>
      <x:c r="AD54" s="10" t="n">
        <x:v>2245.888907</x:v>
      </x:c>
      <x:c r="AE54" s="10" t="n">
        <x:f>IF(A54=B54,0,AVERAGE(E54:Q54))</x:f>
        <x:v>2080.595734846154</x:v>
      </x:c>
      <x:c r="AF54" s="10" t="n">
        <x:f>IF(A54=B54,0,AVERAGE(R54:AD54))</x:f>
        <x:v>534.4860974615385</x:v>
      </x:c>
      <x:c r="AG54" s="10" t="n">
        <x:f>AE54+AF54</x:f>
        <x:v>2615.0818323076924</x:v>
      </x:c>
    </x:row>
    <x:row r="55">
      <x:c r="A55" t="str">
        <x:v>CH</x:v>
      </x:c>
      <x:c r="B55" t="str">
        <x:v>TR</x:v>
      </x:c>
      <x:c r="C55" t="str">
        <x:v>Switzerland</x:v>
      </x:c>
      <x:c r="D55" t="str">
        <x:v>Türkiye, Republic of</x:v>
      </x:c>
      <x:c r="E55" s="10" t="n">
        <x:v>836.317575</x:v>
      </x:c>
      <x:c r="F55" s="10" t="n">
        <x:v>713.026757</x:v>
      </x:c>
      <x:c r="G55" s="10" t="n">
        <x:v>1075.503215</x:v>
      </x:c>
      <x:c r="H55" s="10" t="n">
        <x:v>1256.95667</x:v>
      </x:c>
      <x:c r="I55" s="10" t="n">
        <x:v>1606.061158</x:v>
      </x:c>
      <x:c r="J55" s="10" t="n">
        <x:v>1649.880469</x:v>
      </x:c>
      <x:c r="K55" s="10" t="n">
        <x:v>1850.834538</x:v>
      </x:c>
      <x:c r="L55" s="10" t="n">
        <x:v>2198.131841</x:v>
      </x:c>
      <x:c r="M55" s="10" t="n">
        <x:v>2306.87682</x:v>
      </x:c>
      <x:c r="N55" s="10" t="n">
        <x:v>1662.623498</x:v>
      </x:c>
      <x:c r="O55" s="10" t="n">
        <x:v>2026.602155</x:v>
      </x:c>
      <x:c r="P55" s="10" t="n">
        <x:v>2421.786293</x:v>
      </x:c>
      <x:c r="Q55" s="10" t="n">
        <x:v>4352.018035</x:v>
      </x:c>
      <x:c r="R55" s="10" t="n">
        <x:v>238.762607</x:v>
      </x:c>
      <x:c r="S55" s="10" t="n">
        <x:v>260.205858</x:v>
      </x:c>
      <x:c r="T55" s="10" t="n">
        <x:v>298.301975</x:v>
      </x:c>
      <x:c r="U55" s="10" t="n">
        <x:v>328.269845</x:v>
      </x:c>
      <x:c r="V55" s="10" t="n">
        <x:v>424.647287</x:v>
      </x:c>
      <x:c r="W55" s="10" t="n">
        <x:v>495.114768</x:v>
      </x:c>
      <x:c r="X55" s="10" t="n">
        <x:v>538.913522</x:v>
      </x:c>
      <x:c r="Y55" s="10" t="n">
        <x:v>715.904192</x:v>
      </x:c>
      <x:c r="Z55" s="10" t="n">
        <x:v>784.698064</x:v>
      </x:c>
      <x:c r="AA55" s="10" t="n">
        <x:v>641.163979</x:v>
      </x:c>
      <x:c r="AB55" s="10" t="n">
        <x:v>736.624157</x:v>
      </x:c>
      <x:c r="AC55" s="10" t="n">
        <x:v>870.024025</x:v>
      </x:c>
      <x:c r="AD55" s="10" t="n">
        <x:v>2399.480077</x:v>
      </x:c>
      <x:c r="AE55" s="10" t="n">
        <x:f>IF(A55=B55,0,AVERAGE(E55:Q55))</x:f>
        <x:v>1842.8168480000002</x:v>
      </x:c>
      <x:c r="AF55" s="10" t="n">
        <x:f>IF(A55=B55,0,AVERAGE(R55:AD55))</x:f>
        <x:v>671.7007966153847</x:v>
      </x:c>
      <x:c r="AG55" s="10" t="n">
        <x:f>AE55+AF55</x:f>
        <x:v>2514.5176446153846</x:v>
      </x:c>
    </x:row>
    <x:row r="56">
      <x:c r="A56" t="str">
        <x:v>CH</x:v>
      </x:c>
      <x:c r="B56" t="str">
        <x:v>US</x:v>
      </x:c>
      <x:c r="C56" t="str">
        <x:v>Switzerland</x:v>
      </x:c>
      <x:c r="D56" t="str">
        <x:v>United States</x:v>
      </x:c>
      <x:c r="E56" s="10" t="n">
        <x:v>10549.518264</x:v>
      </x:c>
      <x:c r="F56" s="10" t="n">
        <x:v>9546.792349</x:v>
      </x:c>
      <x:c r="G56" s="10" t="n">
        <x:v>10989.108913</x:v>
      </x:c>
      <x:c r="H56" s="10" t="n">
        <x:v>11729.99557</x:v>
      </x:c>
      <x:c r="I56" s="10" t="n">
        <x:v>12870.552677</x:v>
      </x:c>
      <x:c r="J56" s="10" t="n">
        <x:v>14248.281609</x:v>
      </x:c>
      <x:c r="K56" s="10" t="n">
        <x:v>16364.125457</x:v>
      </x:c>
      <x:c r="L56" s="10" t="n">
        <x:v>16747.886061</x:v>
      </x:c>
      <x:c r="M56" s="10" t="n">
        <x:v>19221.309743</x:v>
      </x:c>
      <x:c r="N56" s="10" t="n">
        <x:v>17363.503276</x:v>
      </x:c>
      <x:c r="O56" s="10" t="n">
        <x:v>19823.099656</x:v>
      </x:c>
      <x:c r="P56" s="10" t="n">
        <x:v>24088.31962</x:v>
      </x:c>
      <x:c r="Q56" s="10" t="n">
        <x:v>25528.83735</x:v>
      </x:c>
      <x:c r="R56" s="10" t="n">
        <x:v>6472.946458</x:v>
      </x:c>
      <x:c r="S56" s="10" t="n">
        <x:v>5645.952259</x:v>
      </x:c>
      <x:c r="T56" s="10" t="n">
        <x:v>6137.101095</x:v>
      </x:c>
      <x:c r="U56" s="10" t="n">
        <x:v>5856.349558</x:v>
      </x:c>
      <x:c r="V56" s="10" t="n">
        <x:v>6294.387001</x:v>
      </x:c>
      <x:c r="W56" s="10" t="n">
        <x:v>7086.288495</x:v>
      </x:c>
      <x:c r="X56" s="10" t="n">
        <x:v>8725.533099</x:v>
      </x:c>
      <x:c r="Y56" s="10" t="n">
        <x:v>9344.659799</x:v>
      </x:c>
      <x:c r="Z56" s="10" t="n">
        <x:v>10611.457579</x:v>
      </x:c>
      <x:c r="AA56" s="10" t="n">
        <x:v>8982.993478</x:v>
      </x:c>
      <x:c r="AB56" s="10" t="n">
        <x:v>9414.47039</x:v>
      </x:c>
      <x:c r="AC56" s="10" t="n">
        <x:v>10330.765522</x:v>
      </x:c>
      <x:c r="AD56" s="10" t="n">
        <x:v>25501.16636</x:v>
      </x:c>
      <x:c r="AE56" s="10" t="n">
        <x:f>IF(A56=B56,0,AVERAGE(E56:Q56))</x:f>
        <x:v>16082.410041923074</x:v>
      </x:c>
      <x:c r="AF56" s="10" t="n">
        <x:f>IF(A56=B56,0,AVERAGE(R56:AD56))</x:f>
        <x:v>9261.851622538463</x:v>
      </x:c>
      <x:c r="AG56" s="10" t="n">
        <x:f>AE56+AF56</x:f>
        <x:v>25344.261664461537</x:v>
      </x:c>
    </x:row>
    <x:row r="57">
      <x:c r="A57" t="str">
        <x:v>CH</x:v>
      </x:c>
      <x:c r="B57" t="str">
        <x:v>ZA</x:v>
      </x:c>
      <x:c r="C57" t="str">
        <x:v>Switzerland</x:v>
      </x:c>
      <x:c r="D57" t="str">
        <x:v>South Africa</x:v>
      </x:c>
      <x:c r="E57" s="10" t="n">
        <x:v>357.809487</x:v>
      </x:c>
      <x:c r="F57" s="10" t="n">
        <x:v>303.191547</x:v>
      </x:c>
      <x:c r="G57" s="10" t="n">
        <x:v>332.931219</x:v>
      </x:c>
      <x:c r="H57" s="10" t="n">
        <x:v>389.611981</x:v>
      </x:c>
      <x:c r="I57" s="10" t="n">
        <x:v>445.716703</x:v>
      </x:c>
      <x:c r="J57" s="10" t="n">
        <x:v>536.203107</x:v>
      </x:c>
      <x:c r="K57" s="10" t="n">
        <x:v>581.687679</x:v>
      </x:c>
      <x:c r="L57" s="10" t="n">
        <x:v>671.610134</x:v>
      </x:c>
      <x:c r="M57" s="10" t="n">
        <x:v>718.863501</x:v>
      </x:c>
      <x:c r="N57" s="10" t="n">
        <x:v>620.795533</x:v>
      </x:c>
      <x:c r="O57" s="10" t="n">
        <x:v>738.713472</x:v>
      </x:c>
      <x:c r="P57" s="10" t="n">
        <x:v>897.123431</x:v>
      </x:c>
      <x:c r="Q57" s="10" t="n">
        <x:v>785.289313</x:v>
      </x:c>
      <x:c r="R57" s="10" t="n">
        <x:v>298.426184</x:v>
      </x:c>
      <x:c r="S57" s="10" t="n">
        <x:v>377.192124</x:v>
      </x:c>
      <x:c r="T57" s="10" t="n">
        <x:v>408.488741</x:v>
      </x:c>
      <x:c r="U57" s="10" t="n">
        <x:v>642.462354</x:v>
      </x:c>
      <x:c r="V57" s="10" t="n">
        <x:v>815.204684</x:v>
      </x:c>
      <x:c r="W57" s="10" t="n">
        <x:v>874.75507</x:v>
      </x:c>
      <x:c r="X57" s="10" t="n">
        <x:v>1005.534587</x:v>
      </x:c>
      <x:c r="Y57" s="10" t="n">
        <x:v>872.844956</x:v>
      </x:c>
      <x:c r="Z57" s="10" t="n">
        <x:v>589.070139</x:v>
      </x:c>
      <x:c r="AA57" s="10" t="n">
        <x:v>1529.762588</x:v>
      </x:c>
      <x:c r="AB57" s="10" t="n">
        <x:v>742.143062</x:v>
      </x:c>
      <x:c r="AC57" s="10" t="n">
        <x:v>1528.458325</x:v>
      </x:c>
      <x:c r="AD57" s="10" t="n">
        <x:v>2072.602018</x:v>
      </x:c>
      <x:c r="AE57" s="10" t="n">
        <x:f>IF(A57=B57,0,AVERAGE(E57:Q57))</x:f>
        <x:v>567.6574697692308</x:v>
      </x:c>
      <x:c r="AF57" s="10" t="n">
        <x:f>IF(A57=B57,0,AVERAGE(R57:AD57))</x:f>
        <x:v>904.3803716923078</x:v>
      </x:c>
      <x:c r="AG57" s="10" t="n">
        <x:f>AE57+AF57</x:f>
        <x:v>1472.0378414615386</x:v>
      </x:c>
    </x:row>
    <x:row r="58">
      <x:c r="A58" t="str">
        <x:v>CN</x:v>
      </x:c>
      <x:c r="B58" t="str">
        <x:v>AU</x:v>
      </x:c>
      <x:c r="C58" t="str">
        <x:v>China, People's Republic of</x:v>
      </x:c>
      <x:c r="D58" t="str">
        <x:v>Australia</x:v>
      </x:c>
      <x:c r="E58" s="10" t="n">
        <x:v>3477.33</x:v>
      </x:c>
      <x:c r="F58" s="10" t="n">
        <x:v>3573.565</x:v>
      </x:c>
      <x:c r="G58" s="10" t="n">
        <x:v>4589.225</x:v>
      </x:c>
      <x:c r="H58" s="10" t="n">
        <x:v>6265.403</x:v>
      </x:c>
      <x:c r="I58" s="10" t="n">
        <x:v>8839.747119</x:v>
      </x:c>
      <x:c r="J58" s="10" t="n">
        <x:v>11065.415</x:v>
      </x:c>
      <x:c r="K58" s="10" t="n">
        <x:v>13626.213</x:v>
      </x:c>
      <x:c r="L58" s="10" t="n">
        <x:v>17997.55</x:v>
      </x:c>
      <x:c r="M58" s="10" t="n">
        <x:v>22244.125</x:v>
      </x:c>
      <x:c r="N58" s="10" t="n">
        <x:v>20663.852</x:v>
      </x:c>
      <x:c r="O58" s="10" t="n">
        <x:v>27227.656181</x:v>
      </x:c>
      <x:c r="P58" s="10" t="n">
        <x:v>33906.492046</x:v>
      </x:c>
      <x:c r="Q58" s="10" t="n">
        <x:v>37761.523589</x:v>
      </x:c>
      <x:c r="R58" s="10" t="n">
        <x:v>5098.804</x:v>
      </x:c>
      <x:c r="S58" s="10" t="n">
        <x:v>5430</x:v>
      </x:c>
      <x:c r="T58" s="10" t="n">
        <x:v>5851.786</x:v>
      </x:c>
      <x:c r="U58" s="10" t="n">
        <x:v>7301.794</x:v>
      </x:c>
      <x:c r="V58" s="10" t="n">
        <x:v>11530.590743</x:v>
      </x:c>
      <x:c r="W58" s="10" t="n">
        <x:v>16146.811</x:v>
      </x:c>
      <x:c r="X58" s="10" t="n">
        <x:v>19194.535</x:v>
      </x:c>
      <x:c r="Y58" s="10" t="n">
        <x:v>25758.315</x:v>
      </x:c>
      <x:c r="Z58" s="10" t="n">
        <x:v>36283.844</x:v>
      </x:c>
      <x:c r="AA58" s="10" t="n">
        <x:v>39241.375</x:v>
      </x:c>
      <x:c r="AB58" s="10" t="n">
        <x:v>59698.071638</x:v>
      </x:c>
      <x:c r="AC58" s="10" t="n">
        <x:v>80929.735157</x:v>
      </x:c>
      <x:c r="AD58" s="10" t="n">
        <x:v>78593.065204</x:v>
      </x:c>
      <x:c r="AE58" s="10" t="n">
        <x:f>IF(A58=B58,0,AVERAGE(E58:Q58))</x:f>
        <x:v>16249.084379615386</x:v>
      </x:c>
      <x:c r="AF58" s="10" t="n">
        <x:f>IF(A58=B58,0,AVERAGE(R58:AD58))</x:f>
        <x:v>30081.44051861538</x:v>
      </x:c>
      <x:c r="AG58" s="10" t="n">
        <x:f>AE58+AF58</x:f>
        <x:v>46330.52489823077</x:v>
      </x:c>
    </x:row>
    <x:row r="59">
      <x:c r="A59" t="str">
        <x:v>CN</x:v>
      </x:c>
      <x:c r="B59" t="str">
        <x:v>BR</x:v>
      </x:c>
      <x:c r="C59" t="str">
        <x:v>China, People's Republic of</x:v>
      </x:c>
      <x:c r="D59" t="str">
        <x:v>Brazil</x:v>
      </x:c>
      <x:c r="E59" s="10" t="n">
        <x:v>1223.719</x:v>
      </x:c>
      <x:c r="F59" s="10" t="n">
        <x:v>1363.351</x:v>
      </x:c>
      <x:c r="G59" s="10" t="n">
        <x:v>1466.419</x:v>
      </x:c>
      <x:c r="H59" s="10" t="n">
        <x:v>2145.8</x:v>
      </x:c>
      <x:c r="I59" s="10" t="n">
        <x:v>3675.106294</x:v>
      </x:c>
      <x:c r="J59" s="10" t="n">
        <x:v>4829.263</x:v>
      </x:c>
      <x:c r="K59" s="10" t="n">
        <x:v>7380.296</x:v>
      </x:c>
      <x:c r="L59" s="10" t="n">
        <x:v>11376.715</x:v>
      </x:c>
      <x:c r="M59" s="10" t="n">
        <x:v>18775.201</x:v>
      </x:c>
      <x:c r="N59" s="10" t="n">
        <x:v>14126.25</x:v>
      </x:c>
      <x:c r="O59" s="10" t="n">
        <x:v>24463.732073</x:v>
      </x:c>
      <x:c r="P59" s="10" t="n">
        <x:v>31854.262695</x:v>
      </x:c>
      <x:c r="Q59" s="10" t="n">
        <x:v>33425.054695</x:v>
      </x:c>
      <x:c r="R59" s="10" t="n">
        <x:v>1621.423</x:v>
      </x:c>
      <x:c r="S59" s="10" t="n">
        <x:v>2347.242</x:v>
      </x:c>
      <x:c r="T59" s="10" t="n">
        <x:v>3003.096</x:v>
      </x:c>
      <x:c r="U59" s="10" t="n">
        <x:v>5845.587</x:v>
      </x:c>
      <x:c r="V59" s="10" t="n">
        <x:v>8656.104787</x:v>
      </x:c>
      <x:c r="W59" s="10" t="n">
        <x:v>9981.794</x:v>
      </x:c>
      <x:c r="X59" s="10" t="n">
        <x:v>12907.226</x:v>
      </x:c>
      <x:c r="Y59" s="10" t="n">
        <x:v>18342.165</x:v>
      </x:c>
      <x:c r="Z59" s="10" t="n">
        <x:v>29632.218</x:v>
      </x:c>
      <x:c r="AA59" s="10" t="n">
        <x:v>28311.203</x:v>
      </x:c>
      <x:c r="AB59" s="10" t="n">
        <x:v>38038.090207</x:v>
      </x:c>
      <x:c r="AC59" s="10" t="n">
        <x:v>52648.797468</x:v>
      </x:c>
      <x:c r="AD59" s="10" t="n">
        <x:v>52059.670888</x:v>
      </x:c>
      <x:c r="AE59" s="10" t="n">
        <x:f>IF(A59=B59,0,AVERAGE(E59:Q59))</x:f>
        <x:v>12008.089981307692</x:v>
      </x:c>
      <x:c r="AF59" s="10" t="n">
        <x:f>IF(A59=B59,0,AVERAGE(R59:AD59))</x:f>
        <x:v>20261.12441153846</x:v>
      </x:c>
      <x:c r="AG59" s="10" t="n">
        <x:f>AE59+AF59</x:f>
        <x:v>32269.214392846152</x:v>
      </x:c>
    </x:row>
    <x:row r="60">
      <x:c r="A60" t="str">
        <x:v>CN</x:v>
      </x:c>
      <x:c r="B60" t="str">
        <x:v>CA</x:v>
      </x:c>
      <x:c r="C60" t="str">
        <x:v>China, People's Republic of</x:v>
      </x:c>
      <x:c r="D60" t="str">
        <x:v>Canada</x:v>
      </x:c>
      <x:c r="E60" s="10" t="n">
        <x:v>3157.601</x:v>
      </x:c>
      <x:c r="F60" s="10" t="n">
        <x:v>3349.754</x:v>
      </x:c>
      <x:c r="G60" s="10" t="n">
        <x:v>4304.719</x:v>
      </x:c>
      <x:c r="H60" s="10" t="n">
        <x:v>5634.995</x:v>
      </x:c>
      <x:c r="I60" s="10" t="n">
        <x:v>8164.93252</x:v>
      </x:c>
      <x:c r="J60" s="10" t="n">
        <x:v>11657.641</x:v>
      </x:c>
      <x:c r="K60" s="10" t="n">
        <x:v>15519.802</x:v>
      </x:c>
      <x:c r="L60" s="10" t="n">
        <x:v>19362.909</x:v>
      </x:c>
      <x:c r="M60" s="10" t="n">
        <x:v>21789.889</x:v>
      </x:c>
      <x:c r="N60" s="10" t="n">
        <x:v>17673.26</x:v>
      </x:c>
      <x:c r="O60" s="10" t="n">
        <x:v>22208.071511</x:v>
      </x:c>
      <x:c r="P60" s="10" t="n">
        <x:v>25249.130127</x:v>
      </x:c>
      <x:c r="Q60" s="10" t="n">
        <x:v>28106.991424</x:v>
      </x:c>
      <x:c r="R60" s="10" t="n">
        <x:v>3751.312</x:v>
      </x:c>
      <x:c r="S60" s="10" t="n">
        <x:v>4029.557</x:v>
      </x:c>
      <x:c r="T60" s="10" t="n">
        <x:v>3627.242</x:v>
      </x:c>
      <x:c r="U60" s="10" t="n">
        <x:v>4376.464</x:v>
      </x:c>
      <x:c r="V60" s="10" t="n">
        <x:v>7345.023801</x:v>
      </x:c>
      <x:c r="W60" s="10" t="n">
        <x:v>7516.451</x:v>
      </x:c>
      <x:c r="X60" s="10" t="n">
        <x:v>7666.941</x:v>
      </x:c>
      <x:c r="Y60" s="10" t="n">
        <x:v>10974.974</x:v>
      </x:c>
      <x:c r="Z60" s="10" t="n">
        <x:v>12777.038</x:v>
      </x:c>
      <x:c r="AA60" s="10" t="n">
        <x:v>11940.029</x:v>
      </x:c>
      <x:c r="AB60" s="10" t="n">
        <x:v>14791.211174</x:v>
      </x:c>
      <x:c r="AC60" s="10" t="n">
        <x:v>21564.102886</x:v>
      </x:c>
      <x:c r="AD60" s="10" t="n">
        <x:v>22759.458095</x:v>
      </x:c>
      <x:c r="AE60" s="10" t="n">
        <x:f>IF(A60=B60,0,AVERAGE(E60:Q60))</x:f>
        <x:v>14321.51504476923</x:v>
      </x:c>
      <x:c r="AF60" s="10" t="n">
        <x:f>IF(A60=B60,0,AVERAGE(R60:AD60))</x:f>
        <x:v>10239.98491969231</x:v>
      </x:c>
      <x:c r="AG60" s="10" t="n">
        <x:f>AE60+AF60</x:f>
        <x:v>24561.49996446154</x:v>
      </x:c>
    </x:row>
    <x:row r="61">
      <x:c r="A61" t="str">
        <x:v>CN</x:v>
      </x:c>
      <x:c r="B61" t="str">
        <x:v>CH</x:v>
      </x:c>
      <x:c r="C61" t="str">
        <x:v>China, People's Republic of</x:v>
      </x:c>
      <x:c r="D61" t="str">
        <x:v>Switzerland</x:v>
      </x:c>
      <x:c r="E61" s="10" t="n">
        <x:v>753.869</x:v>
      </x:c>
      <x:c r="F61" s="10" t="n">
        <x:v>652.772</x:v>
      </x:c>
      <x:c r="G61" s="10" t="n">
        <x:v>638.491</x:v>
      </x:c>
      <x:c r="H61" s="10" t="n">
        <x:v>842.022</x:v>
      </x:c>
      <x:c r="I61" s="10" t="n">
        <x:v>1512.524685</x:v>
      </x:c>
      <x:c r="J61" s="10" t="n">
        <x:v>1955.825</x:v>
      </x:c>
      <x:c r="K61" s="10" t="n">
        <x:v>2519.33</x:v>
      </x:c>
      <x:c r="L61" s="10" t="n">
        <x:v>3608.794</x:v>
      </x:c>
      <x:c r="M61" s="10" t="n">
        <x:v>3913.294</x:v>
      </x:c>
      <x:c r="N61" s="10" t="n">
        <x:v>2665.113</x:v>
      </x:c>
      <x:c r="O61" s="10" t="n">
        <x:v>3038.509817</x:v>
      </x:c>
      <x:c r="P61" s="10" t="n">
        <x:v>3713.617067</x:v>
      </x:c>
      <x:c r="Q61" s="10" t="n">
        <x:v>3507.94364</x:v>
      </x:c>
      <x:c r="R61" s="10" t="n">
        <x:v>1466.83</x:v>
      </x:c>
      <x:c r="S61" s="10" t="n">
        <x:v>1730.419</x:v>
      </x:c>
      <x:c r="T61" s="10" t="n">
        <x:v>2041.307</x:v>
      </x:c>
      <x:c r="U61" s="10" t="n">
        <x:v>2692.634</x:v>
      </x:c>
      <x:c r="V61" s="10" t="n">
        <x:v>3638.372102</x:v>
      </x:c>
      <x:c r="W61" s="10" t="n">
        <x:v>3894.47</x:v>
      </x:c>
      <x:c r="X61" s="10" t="n">
        <x:v>4268.778</x:v>
      </x:c>
      <x:c r="Y61" s="10" t="n">
        <x:v>5872.489</x:v>
      </x:c>
      <x:c r="Z61" s="10" t="n">
        <x:v>7383.423</x:v>
      </x:c>
      <x:c r="AA61" s="10" t="n">
        <x:v>6945.928</x:v>
      </x:c>
      <x:c r="AB61" s="10" t="n">
        <x:v>8440.055537</x:v>
      </x:c>
      <x:c r="AC61" s="10" t="n">
        <x:v>27295.878931</x:v>
      </x:c>
      <x:c r="AD61" s="10" t="n">
        <x:v>22880.742026</x:v>
      </x:c>
      <x:c r="AE61" s="10" t="n">
        <x:f>IF(A61=B61,0,AVERAGE(E61:Q61))</x:f>
        <x:v>2255.546554538462</x:v>
      </x:c>
      <x:c r="AF61" s="10" t="n">
        <x:f>IF(A61=B61,0,AVERAGE(R61:AD61))</x:f>
        <x:v>7580.871276615385</x:v>
      </x:c>
      <x:c r="AG61" s="10" t="n">
        <x:f>AE61+AF61</x:f>
        <x:v>9836.417831153847</x:v>
      </x:c>
    </x:row>
    <x:row r="62">
      <x:c r="A62" t="str">
        <x:v>CN</x:v>
      </x:c>
      <x:c r="B62" t="str">
        <x:v>CN</x:v>
      </x:c>
      <x:c r="C62" t="str">
        <x:v>China, People's Republic of</x:v>
      </x:c>
      <x:c r="D62" t="str">
        <x:v>China, People's Republic of</x:v>
      </x:c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 t="n">
        <x:f>IF(A62=B62,0,AVERAGE(E62:Q62))</x:f>
        <x:v>0</x:v>
      </x:c>
      <x:c r="AF62" s="10" t="n">
        <x:f>IF(A62=B62,0,AVERAGE(R62:AD62))</x:f>
        <x:v>0</x:v>
      </x:c>
      <x:c r="AG62" s="10" t="n">
        <x:f>AE62+AF62</x:f>
        <x:v>0</x:v>
      </x:c>
    </x:row>
    <x:row r="63">
      <x:c r="A63" t="str">
        <x:v>CN</x:v>
      </x:c>
      <x:c r="B63" t="str">
        <x:v>EA</x:v>
      </x:c>
      <x:c r="C63" t="str">
        <x:v>China, People's Republic of</x:v>
      </x:c>
      <x:c r="D63" t="str">
        <x:v>Euro Area (EA)</x:v>
      </x:c>
      <x:c r="E63" s="10" t="n">
        <x:v>30775.39</x:v>
      </x:c>
      <x:c r="F63" s="10" t="n">
        <x:v>33252.884</x:v>
      </x:c>
      <x:c r="G63" s="10" t="n">
        <x:v>39290.868</x:v>
      </x:c>
      <x:c r="H63" s="10" t="n">
        <x:v>59604.12</x:v>
      </x:c>
      <x:c r="I63" s="10" t="n">
        <x:v>82990.818151</x:v>
      </x:c>
      <x:c r="J63" s="10" t="n">
        <x:v>113313.188</x:v>
      </x:c>
      <x:c r="K63" s="10" t="n">
        <x:v>142206.064</x:v>
      </x:c>
      <x:c r="L63" s="10" t="n">
        <x:v>187528.148</x:v>
      </x:c>
      <x:c r="M63" s="10" t="n">
        <x:v>223517.545</x:v>
      </x:c>
      <x:c r="N63" s="10" t="n">
        <x:v>177031.693</x:v>
      </x:c>
      <x:c r="O63" s="10" t="n">
        <x:v>236392.548991</x:v>
      </x:c>
      <x:c r="P63" s="10" t="n">
        <x:v>270756.216265</x:v>
      </x:c>
      <x:c r="Q63" s="10" t="n">
        <x:v>248094.594145</x:v>
      </x:c>
      <x:c r="R63" s="10" t="n">
        <x:v>24080.673</x:v>
      </x:c>
      <x:c r="S63" s="10" t="n">
        <x:v>29575.789</x:v>
      </x:c>
      <x:c r="T63" s="10" t="n">
        <x:v>33138.225</x:v>
      </x:c>
      <x:c r="U63" s="10" t="n">
        <x:v>46333.674</x:v>
      </x:c>
      <x:c r="V63" s="10" t="n">
        <x:v>59225.076562</x:v>
      </x:c>
      <x:c r="W63" s="10" t="n">
        <x:v>62471.817</x:v>
      </x:c>
      <x:c r="X63" s="10" t="n">
        <x:v>77263.09</x:v>
      </x:c>
      <x:c r="Y63" s="10" t="n">
        <x:v>93769.677</x:v>
      </x:c>
      <x:c r="Z63" s="10" t="n">
        <x:v>111411.646</x:v>
      </x:c>
      <x:c r="AA63" s="10" t="n">
        <x:v>107705.554</x:v>
      </x:c>
      <x:c r="AB63" s="10" t="n">
        <x:v>141959.012031</x:v>
      </x:c>
      <x:c r="AC63" s="10" t="n">
        <x:v>178557.274418</x:v>
      </x:c>
      <x:c r="AD63" s="10" t="n">
        <x:v>177382.07621</x:v>
      </x:c>
      <x:c r="AE63" s="10" t="n">
        <x:f>IF(A63=B63,0,AVERAGE(E63:Q63))</x:f>
        <x:v>141904.1598116923</x:v>
      </x:c>
      <x:c r="AF63" s="10" t="n">
        <x:f>IF(A63=B63,0,AVERAGE(R63:AD63))</x:f>
        <x:v>87913.35263238462</x:v>
      </x:c>
      <x:c r="AG63" s="10" t="n">
        <x:f>AE63+AF63</x:f>
        <x:v>229817.51244407694</x:v>
      </x:c>
    </x:row>
    <x:row r="64">
      <x:c r="A64" t="str">
        <x:v>CN</x:v>
      </x:c>
      <x:c r="B64" t="str">
        <x:v>UK</x:v>
      </x:c>
      <x:c r="C64" t="str">
        <x:v>China, People's Republic of</x:v>
      </x:c>
      <x:c r="D64" t="str">
        <x:v>United Kingdom</x:v>
      </x:c>
      <x:c r="E64" s="10" t="n">
        <x:v>6310.629</x:v>
      </x:c>
      <x:c r="F64" s="10" t="n">
        <x:v>6786.357</x:v>
      </x:c>
      <x:c r="G64" s="10" t="n">
        <x:v>8059.246</x:v>
      </x:c>
      <x:c r="H64" s="10" t="n">
        <x:v>10827.796</x:v>
      </x:c>
      <x:c r="I64" s="10" t="n">
        <x:v>14975.476375</x:v>
      </x:c>
      <x:c r="J64" s="10" t="n">
        <x:v>18983.093</x:v>
      </x:c>
      <x:c r="K64" s="10" t="n">
        <x:v>24158.455</x:v>
      </x:c>
      <x:c r="L64" s="10" t="n">
        <x:v>31653.895</x:v>
      </x:c>
      <x:c r="M64" s="10" t="n">
        <x:v>36078.929</x:v>
      </x:c>
      <x:c r="N64" s="10" t="n">
        <x:v>31282.895</x:v>
      </x:c>
      <x:c r="O64" s="10" t="n">
        <x:v>38776.34963</x:v>
      </x:c>
      <x:c r="P64" s="10" t="n">
        <x:v>44113.002194</x:v>
      </x:c>
      <x:c r="Q64" s="10" t="n">
        <x:v>46279.17235</x:v>
      </x:c>
      <x:c r="R64" s="10" t="n">
        <x:v>3592.644</x:v>
      </x:c>
      <x:c r="S64" s="10" t="n">
        <x:v>3524.74</x:v>
      </x:c>
      <x:c r="T64" s="10" t="n">
        <x:v>3336.764</x:v>
      </x:c>
      <x:c r="U64" s="10" t="n">
        <x:v>3572.768</x:v>
      </x:c>
      <x:c r="V64" s="10" t="n">
        <x:v>4753.101843</x:v>
      </x:c>
      <x:c r="W64" s="10" t="n">
        <x:v>5511.246</x:v>
      </x:c>
      <x:c r="X64" s="10" t="n">
        <x:v>6510.126</x:v>
      </x:c>
      <x:c r="Y64" s="10" t="n">
        <x:v>7783.558</x:v>
      </x:c>
      <x:c r="Z64" s="10" t="n">
        <x:v>9561.704</x:v>
      </x:c>
      <x:c r="AA64" s="10" t="n">
        <x:v>7872.051</x:v>
      </x:c>
      <x:c r="AB64" s="10" t="n">
        <x:v>11301.183881</x:v>
      </x:c>
      <x:c r="AC64" s="10" t="n">
        <x:v>14544.757868</x:v>
      </x:c>
      <x:c r="AD64" s="10" t="n">
        <x:v>16808.06439</x:v>
      </x:c>
      <x:c r="AE64" s="10" t="n">
        <x:f>IF(A64=B64,0,AVERAGE(E64:Q64))</x:f>
        <x:v>24483.484273</x:v>
      </x:c>
      <x:c r="AF64" s="10" t="n">
        <x:f>IF(A64=B64,0,AVERAGE(R64:AD64))</x:f>
        <x:v>7590.208383230769</x:v>
      </x:c>
      <x:c r="AG64" s="10" t="n">
        <x:f>AE64+AF64</x:f>
        <x:v>32073.692656230767</x:v>
      </x:c>
    </x:row>
    <x:row r="65">
      <x:c r="A65" t="str">
        <x:v>CN</x:v>
      </x:c>
      <x:c r="B65" t="str">
        <x:v>JP</x:v>
      </x:c>
      <x:c r="C65" t="str">
        <x:v>China, People's Republic of</x:v>
      </x:c>
      <x:c r="D65" t="str">
        <x:v>Japan</x:v>
      </x:c>
      <x:c r="E65" s="10" t="n">
        <x:v>41611.046</x:v>
      </x:c>
      <x:c r="F65" s="10" t="n">
        <x:v>45078.177</x:v>
      </x:c>
      <x:c r="G65" s="10" t="n">
        <x:v>48483.03</x:v>
      </x:c>
      <x:c r="H65" s="10" t="n">
        <x:v>59453.99</x:v>
      </x:c>
      <x:c r="I65" s="10" t="n">
        <x:v>73536.262889</x:v>
      </x:c>
      <x:c r="J65" s="10" t="n">
        <x:v>84097.191</x:v>
      </x:c>
      <x:c r="K65" s="10" t="n">
        <x:v>91772.494</x:v>
      </x:c>
      <x:c r="L65" s="10" t="n">
        <x:v>102116.308</x:v>
      </x:c>
      <x:c r="M65" s="10" t="n">
        <x:v>116176.472</x:v>
      </x:c>
      <x:c r="N65" s="10" t="n">
        <x:v>98044.946</x:v>
      </x:c>
      <x:c r="O65" s="10" t="n">
        <x:v>120262.426506</x:v>
      </x:c>
      <x:c r="P65" s="10" t="n">
        <x:v>147290.055987</x:v>
      </x:c>
      <x:c r="Q65" s="10" t="n">
        <x:v>151509.251755</x:v>
      </x:c>
      <x:c r="R65" s="10" t="n">
        <x:v>41520.272</x:v>
      </x:c>
      <x:c r="S65" s="10" t="n">
        <x:v>42810.264</x:v>
      </x:c>
      <x:c r="T65" s="10" t="n">
        <x:v>53489.037</x:v>
      </x:c>
      <x:c r="U65" s="10" t="n">
        <x:v>74204.074</x:v>
      </x:c>
      <x:c r="V65" s="10" t="n">
        <x:v>94191.669893</x:v>
      </x:c>
      <x:c r="W65" s="10" t="n">
        <x:v>100467.561</x:v>
      </x:c>
      <x:c r="X65" s="10" t="n">
        <x:v>115810.943</x:v>
      </x:c>
      <x:c r="Y65" s="10" t="n">
        <x:v>133903.261</x:v>
      </x:c>
      <x:c r="Z65" s="10" t="n">
        <x:v>150807.52</x:v>
      </x:c>
      <x:c r="AA65" s="10" t="n">
        <x:v>130927.93</x:v>
      </x:c>
      <x:c r="AB65" s="10" t="n">
        <x:v>176304.025822</x:v>
      </x:c>
      <x:c r="AC65" s="10" t="n">
        <x:v>194409.770672</x:v>
      </x:c>
      <x:c r="AD65" s="10" t="n">
        <x:v>177726.830066</x:v>
      </x:c>
      <x:c r="AE65" s="10" t="n">
        <x:f>IF(A65=B65,0,AVERAGE(E65:Q65))</x:f>
        <x:v>90725.51162592307</x:v>
      </x:c>
      <x:c r="AF65" s="10" t="n">
        <x:f>IF(A65=B65,0,AVERAGE(R65:AD65))</x:f>
        <x:v>114351.78141946156</x:v>
      </x:c>
      <x:c r="AG65" s="10" t="n">
        <x:f>AE65+AF65</x:f>
        <x:v>205077.29304538463</x:v>
      </x:c>
    </x:row>
    <x:row r="66">
      <x:c r="A66" t="str">
        <x:v>CN</x:v>
      </x:c>
      <x:c r="B66" t="str">
        <x:v>KR</x:v>
      </x:c>
      <x:c r="C66" t="str">
        <x:v>China, People's Republic of</x:v>
      </x:c>
      <x:c r="D66" t="str">
        <x:v>Korea, Republic of</x:v>
      </x:c>
      <x:c r="E66" s="10" t="n">
        <x:v>11286.617</x:v>
      </x:c>
      <x:c r="F66" s="10" t="n">
        <x:v>12544.373</x:v>
      </x:c>
      <x:c r="G66" s="10" t="n">
        <x:v>15507.988</x:v>
      </x:c>
      <x:c r="H66" s="10" t="n">
        <x:v>20104.848</x:v>
      </x:c>
      <x:c r="I66" s="10" t="n">
        <x:v>27809.463358</x:v>
      </x:c>
      <x:c r="J66" s="10" t="n">
        <x:v>35116.782</x:v>
      </x:c>
      <x:c r="K66" s="10" t="n">
        <x:v>44558.089</x:v>
      </x:c>
      <x:c r="L66" s="10" t="n">
        <x:v>56128.541</x:v>
      </x:c>
      <x:c r="M66" s="10" t="n">
        <x:v>73905.188</x:v>
      </x:c>
      <x:c r="N66" s="10" t="n">
        <x:v>53638.765</x:v>
      </x:c>
      <x:c r="O66" s="10" t="n">
        <x:v>68810.57179</x:v>
      </x:c>
      <x:c r="P66" s="10" t="n">
        <x:v>82924.696643</x:v>
      </x:c>
      <x:c r="Q66" s="10" t="n">
        <x:v>87646.835978</x:v>
      </x:c>
      <x:c r="R66" s="10" t="n">
        <x:v>23207.944</x:v>
      </x:c>
      <x:c r="S66" s="10" t="n">
        <x:v>23395.716</x:v>
      </x:c>
      <x:c r="T66" s="10" t="n">
        <x:v>28580.979</x:v>
      </x:c>
      <x:c r="U66" s="10" t="n">
        <x:v>43160.534</x:v>
      </x:c>
      <x:c r="V66" s="10" t="n">
        <x:v>62165.555304</x:v>
      </x:c>
      <x:c r="W66" s="10" t="n">
        <x:v>76873.771</x:v>
      </x:c>
      <x:c r="X66" s="10" t="n">
        <x:v>89818.461</x:v>
      </x:c>
      <x:c r="Y66" s="10" t="n">
        <x:v>104044.625</x:v>
      </x:c>
      <x:c r="Z66" s="10" t="n">
        <x:v>112174.866</x:v>
      </x:c>
      <x:c r="AA66" s="10" t="n">
        <x:v>102501.413</x:v>
      </x:c>
      <x:c r="AB66" s="10" t="n">
        <x:v>138023.819032</x:v>
      </x:c>
      <x:c r="AC66" s="10" t="n">
        <x:v>161673.311005</x:v>
      </x:c>
      <x:c r="AD66" s="10" t="n">
        <x:v>166589.711708</x:v>
      </x:c>
      <x:c r="AE66" s="10" t="n">
        <x:f>IF(A66=B66,0,AVERAGE(E66:Q66))</x:f>
        <x:v>45383.28913607693</x:v>
      </x:c>
      <x:c r="AF66" s="10" t="n">
        <x:f>IF(A66=B66,0,AVERAGE(R66:AD66))</x:f>
        <x:v>87093.13123453848</x:v>
      </x:c>
      <x:c r="AG66" s="10" t="n">
        <x:f>AE66+AF66</x:f>
        <x:v>132476.4203706154</x:v>
      </x:c>
    </x:row>
    <x:row r="67">
      <x:c r="A67" t="str">
        <x:v>CN</x:v>
      </x:c>
      <x:c r="B67" t="str">
        <x:v>NO</x:v>
      </x:c>
      <x:c r="C67" t="str">
        <x:v>China, People's Republic of</x:v>
      </x:c>
      <x:c r="D67" t="str">
        <x:v>Norway</x:v>
      </x:c>
      <x:c r="E67" s="10" t="n">
        <x:v>390.267</x:v>
      </x:c>
      <x:c r="F67" s="10" t="n">
        <x:v>412.176</x:v>
      </x:c>
      <x:c r="G67" s="10" t="n">
        <x:v>527.391</x:v>
      </x:c>
      <x:c r="H67" s="10" t="n">
        <x:v>899.778</x:v>
      </x:c>
      <x:c r="I67" s="10" t="n">
        <x:v>1029.263006</x:v>
      </x:c>
      <x:c r="J67" s="10" t="n">
        <x:v>1322.473</x:v>
      </x:c>
      <x:c r="K67" s="10" t="n">
        <x:v>1699.514</x:v>
      </x:c>
      <x:c r="L67" s="10" t="n">
        <x:v>2200.025</x:v>
      </x:c>
      <x:c r="M67" s="10" t="n">
        <x:v>2560.107</x:v>
      </x:c>
      <x:c r="N67" s="10" t="n">
        <x:v>2619.819</x:v>
      </x:c>
      <x:c r="O67" s="10" t="n">
        <x:v>2841.865568</x:v>
      </x:c>
      <x:c r="P67" s="10" t="n">
        <x:v>3789.9763</x:v>
      </x:c>
      <x:c r="Q67" s="10" t="n">
        <x:v>3033.313954</x:v>
      </x:c>
      <x:c r="R67" s="10" t="n">
        <x:v>539.586</x:v>
      </x:c>
      <x:c r="S67" s="10" t="n">
        <x:v>570.464</x:v>
      </x:c>
      <x:c r="T67" s="10" t="n">
        <x:v>923.531</x:v>
      </x:c>
      <x:c r="U67" s="10" t="n">
        <x:v>865.532</x:v>
      </x:c>
      <x:c r="V67" s="10" t="n">
        <x:v>1396.251362</x:v>
      </x:c>
      <x:c r="W67" s="10" t="n">
        <x:v>1144.572</x:v>
      </x:c>
      <x:c r="X67" s="10" t="n">
        <x:v>1249.096</x:v>
      </x:c>
      <x:c r="Y67" s="10" t="n">
        <x:v>1613.817</x:v>
      </x:c>
      <x:c r="Z67" s="10" t="n">
        <x:v>2143.382</x:v>
      </x:c>
      <x:c r="AA67" s="10" t="n">
        <x:v>3043.344</x:v>
      </x:c>
      <x:c r="AB67" s="10" t="n">
        <x:v>3232.861314</x:v>
      </x:c>
      <x:c r="AC67" s="10" t="n">
        <x:v>3620.777699</x:v>
      </x:c>
      <x:c r="AD67" s="10" t="n">
        <x:v>3067.985194</x:v>
      </x:c>
      <x:c r="AE67" s="10" t="n">
        <x:f>IF(A67=B67,0,AVERAGE(E67:Q67))</x:f>
        <x:v>1794.3052944615386</x:v>
      </x:c>
      <x:c r="AF67" s="10" t="n">
        <x:f>IF(A67=B67,0,AVERAGE(R67:AD67))</x:f>
        <x:v>1800.8615053076926</x:v>
      </x:c>
      <x:c r="AG67" s="10" t="n">
        <x:f>AE67+AF67</x:f>
        <x:v>3595.166799769231</x:v>
      </x:c>
    </x:row>
    <x:row r="68">
      <x:c r="A68" t="str">
        <x:v>CN</x:v>
      </x:c>
      <x:c r="B68" t="str">
        <x:v>SG</x:v>
      </x:c>
      <x:c r="C68" t="str">
        <x:v>China, People's Republic of</x:v>
      </x:c>
      <x:c r="D68" t="str">
        <x:v>Singapore</x:v>
      </x:c>
      <x:c r="E68" s="10" t="n">
        <x:v>5754.916</x:v>
      </x:c>
      <x:c r="F68" s="10" t="n">
        <x:v>5794.978</x:v>
      </x:c>
      <x:c r="G68" s="10" t="n">
        <x:v>6968.799</x:v>
      </x:c>
      <x:c r="H68" s="10" t="n">
        <x:v>8873.162</x:v>
      </x:c>
      <x:c r="I68" s="10" t="n">
        <x:v>12695.486839</x:v>
      </x:c>
      <x:c r="J68" s="10" t="n">
        <x:v>16716.135</x:v>
      </x:c>
      <x:c r="K68" s="10" t="n">
        <x:v>23188.075</x:v>
      </x:c>
      <x:c r="L68" s="10" t="n">
        <x:v>29679.574</x:v>
      </x:c>
      <x:c r="M68" s="10" t="n">
        <x:v>32325.189</x:v>
      </x:c>
      <x:c r="N68" s="10" t="n">
        <x:v>30089.386</x:v>
      </x:c>
      <x:c r="O68" s="10" t="n">
        <x:v>32333.265394</x:v>
      </x:c>
      <x:c r="P68" s="10" t="n">
        <x:v>35297.389456</x:v>
      </x:c>
      <x:c r="Q68" s="10" t="n">
        <x:v>40321.160398</x:v>
      </x:c>
      <x:c r="R68" s="10" t="n">
        <x:v>5059.873</x:v>
      </x:c>
      <x:c r="S68" s="10" t="n">
        <x:v>5143.255</x:v>
      </x:c>
      <x:c r="T68" s="10" t="n">
        <x:v>7054.381</x:v>
      </x:c>
      <x:c r="U68" s="10" t="n">
        <x:v>10486.455</x:v>
      </x:c>
      <x:c r="V68" s="10" t="n">
        <x:v>14001.938612</x:v>
      </x:c>
      <x:c r="W68" s="10" t="n">
        <x:v>16530.61</x:v>
      </x:c>
      <x:c r="X68" s="10" t="n">
        <x:v>17674.672</x:v>
      </x:c>
      <x:c r="Y68" s="10" t="n">
        <x:v>17520.198</x:v>
      </x:c>
      <x:c r="Z68" s="10" t="n">
        <x:v>20092.078</x:v>
      </x:c>
      <x:c r="AA68" s="10" t="n">
        <x:v>17736.608</x:v>
      </x:c>
      <x:c r="AB68" s="10" t="n">
        <x:v>24582.606163</x:v>
      </x:c>
      <x:c r="AC68" s="10" t="n">
        <x:v>27759.815523</x:v>
      </x:c>
      <x:c r="AD68" s="10" t="n">
        <x:v>28428.979896</x:v>
      </x:c>
      <x:c r="AE68" s="10" t="n">
        <x:f>IF(A68=B68,0,AVERAGE(E68:Q68))</x:f>
        <x:v>21541.34739130769</x:v>
      </x:c>
      <x:c r="AF68" s="10" t="n">
        <x:f>IF(A68=B68,0,AVERAGE(R68:AD68))</x:f>
        <x:v>16313.190014923077</x:v>
      </x:c>
      <x:c r="AG68" s="10" t="n">
        <x:f>AE68+AF68</x:f>
        <x:v>37854.53740623077</x:v>
      </x:c>
    </x:row>
    <x:row r="69">
      <x:c r="A69" t="str">
        <x:v>CN</x:v>
      </x:c>
      <x:c r="B69" t="str">
        <x:v>TR</x:v>
      </x:c>
      <x:c r="C69" t="str">
        <x:v>China, People's Republic of</x:v>
      </x:c>
      <x:c r="D69" t="str">
        <x:v>Türkiye, Republic of</x:v>
      </x:c>
      <x:c r="E69" s="10" t="n">
        <x:v>1077.885</x:v>
      </x:c>
      <x:c r="F69" s="10" t="n">
        <x:v>676.074</x:v>
      </x:c>
      <x:c r="G69" s="10" t="n">
        <x:v>1089.295</x:v>
      </x:c>
      <x:c r="H69" s="10" t="n">
        <x:v>2065.265</x:v>
      </x:c>
      <x:c r="I69" s="10" t="n">
        <x:v>2821.736494</x:v>
      </x:c>
      <x:c r="J69" s="10" t="n">
        <x:v>4251.781</x:v>
      </x:c>
      <x:c r="K69" s="10" t="n">
        <x:v>7306.732</x:v>
      </x:c>
      <x:c r="L69" s="10" t="n">
        <x:v>10482.692</x:v>
      </x:c>
      <x:c r="M69" s="10" t="n">
        <x:v>10597.806</x:v>
      </x:c>
      <x:c r="N69" s="10" t="n">
        <x:v>8337.567</x:v>
      </x:c>
      <x:c r="O69" s="10" t="n">
        <x:v>11959.766119</x:v>
      </x:c>
      <x:c r="P69" s="10" t="n">
        <x:v>15618.961853</x:v>
      </x:c>
      <x:c r="Q69" s="10" t="n">
        <x:v>15589.826316</x:v>
      </x:c>
      <x:c r="R69" s="10" t="n">
        <x:v>126.746</x:v>
      </x:c>
      <x:c r="S69" s="10" t="n">
        <x:v>230.852</x:v>
      </x:c>
      <x:c r="T69" s="10" t="n">
        <x:v>288.766</x:v>
      </x:c>
      <x:c r="U69" s="10" t="n">
        <x:v>532.799</x:v>
      </x:c>
      <x:c r="V69" s="10" t="n">
        <x:v>591.251343</x:v>
      </x:c>
      <x:c r="W69" s="10" t="n">
        <x:v>632.793</x:v>
      </x:c>
      <x:c r="X69" s="10" t="n">
        <x:v>764.627</x:v>
      </x:c>
      <x:c r="Y69" s="10" t="n">
        <x:v>1292.557</x:v>
      </x:c>
      <x:c r="Z69" s="10" t="n">
        <x:v>1975.333</x:v>
      </x:c>
      <x:c r="AA69" s="10" t="n">
        <x:v>1734.45</x:v>
      </x:c>
      <x:c r="AB69" s="10" t="n">
        <x:v>3153.207268</x:v>
      </x:c>
      <x:c r="AC69" s="10" t="n">
        <x:v>3128.157113</x:v>
      </x:c>
      <x:c r="AD69" s="10" t="n">
        <x:v>3521.506352</x:v>
      </x:c>
      <x:c r="AE69" s="10" t="n">
        <x:f>IF(A69=B69,0,AVERAGE(E69:Q69))</x:f>
        <x:v>7067.337521692307</x:v>
      </x:c>
      <x:c r="AF69" s="10" t="n">
        <x:f>IF(A69=B69,0,AVERAGE(R69:AD69))</x:f>
        <x:v>1382.5419289230772</x:v>
      </x:c>
      <x:c r="AG69" s="10" t="n">
        <x:f>AE69+AF69</x:f>
        <x:v>8449.879450615384</x:v>
      </x:c>
    </x:row>
    <x:row r="70">
      <x:c r="A70" t="str">
        <x:v>CN</x:v>
      </x:c>
      <x:c r="B70" t="str">
        <x:v>US</x:v>
      </x:c>
      <x:c r="C70" t="str">
        <x:v>China, People's Republic of</x:v>
      </x:c>
      <x:c r="D70" t="str">
        <x:v>United States</x:v>
      </x:c>
      <x:c r="E70" s="10" t="n">
        <x:v>52199.843</x:v>
      </x:c>
      <x:c r="F70" s="10" t="n">
        <x:v>54395.06</x:v>
      </x:c>
      <x:c r="G70" s="10" t="n">
        <x:v>70063.827</x:v>
      </x:c>
      <x:c r="H70" s="10" t="n">
        <x:v>92683.715</x:v>
      </x:c>
      <x:c r="I70" s="10" t="n">
        <x:v>125180.700014</x:v>
      </x:c>
      <x:c r="J70" s="10" t="n">
        <x:v>163348.333</x:v>
      </x:c>
      <x:c r="K70" s="10" t="n">
        <x:v>203897.937</x:v>
      </x:c>
      <x:c r="L70" s="10" t="n">
        <x:v>233180.641</x:v>
      </x:c>
      <x:c r="M70" s="10" t="n">
        <x:v>252786.388</x:v>
      </x:c>
      <x:c r="N70" s="10" t="n">
        <x:v>221384.347</x:v>
      </x:c>
      <x:c r="O70" s="10" t="n">
        <x:v>283678.834831</x:v>
      </x:c>
      <x:c r="P70" s="10" t="n">
        <x:v>324856.47164</x:v>
      </x:c>
      <x:c r="Q70" s="10" t="n">
        <x:v>352539.592641</x:v>
      </x:c>
      <x:c r="R70" s="10" t="n">
        <x:v>22376.061</x:v>
      </x:c>
      <x:c r="S70" s="10" t="n">
        <x:v>26221.023</x:v>
      </x:c>
      <x:c r="T70" s="10" t="n">
        <x:v>27251.426</x:v>
      </x:c>
      <x:c r="U70" s="10" t="n">
        <x:v>33961.057</x:v>
      </x:c>
      <x:c r="V70" s="10" t="n">
        <x:v>44743.888003</x:v>
      </x:c>
      <x:c r="W70" s="10" t="n">
        <x:v>48994.47</x:v>
      </x:c>
      <x:c r="X70" s="10" t="n">
        <x:v>59326.08</x:v>
      </x:c>
      <x:c r="Y70" s="10" t="n">
        <x:v>69997.597</x:v>
      </x:c>
      <x:c r="Z70" s="10" t="n">
        <x:v>81722.631</x:v>
      </x:c>
      <x:c r="AA70" s="10" t="n">
        <x:v>77772.47</x:v>
      </x:c>
      <x:c r="AB70" s="10" t="n">
        <x:v>101959.204824</x:v>
      </x:c>
      <x:c r="AC70" s="10" t="n">
        <x:v>119163.74247</x:v>
      </x:c>
      <x:c r="AD70" s="10" t="n">
        <x:v>128637.608562</x:v>
      </x:c>
      <x:c r="AE70" s="10" t="n">
        <x:f>IF(A70=B70,0,AVERAGE(E70:Q70))</x:f>
        <x:v>186938.13000969234</x:v>
      </x:c>
      <x:c r="AF70" s="10" t="n">
        <x:f>IF(A70=B70,0,AVERAGE(R70:AD70))</x:f>
        <x:v>64779.019912230775</x:v>
      </x:c>
      <x:c r="AG70" s="10" t="n">
        <x:f>AE70+AF70</x:f>
        <x:v>251717.14992192312</x:v>
      </x:c>
    </x:row>
    <x:row r="71">
      <x:c r="A71" t="str">
        <x:v>CN</x:v>
      </x:c>
      <x:c r="B71" t="str">
        <x:v>ZA</x:v>
      </x:c>
      <x:c r="C71" t="str">
        <x:v>China, People's Republic of</x:v>
      </x:c>
      <x:c r="D71" t="str">
        <x:v>South Africa</x:v>
      </x:c>
      <x:c r="E71" s="10" t="n">
        <x:v>1013.714</x:v>
      </x:c>
      <x:c r="F71" s="10" t="n">
        <x:v>1051.42</x:v>
      </x:c>
      <x:c r="G71" s="10" t="n">
        <x:v>1311.604</x:v>
      </x:c>
      <x:c r="H71" s="10" t="n">
        <x:v>2030.707</x:v>
      </x:c>
      <x:c r="I71" s="10" t="n">
        <x:v>2951.863176</x:v>
      </x:c>
      <x:c r="J71" s="10" t="n">
        <x:v>3825.881</x:v>
      </x:c>
      <x:c r="K71" s="10" t="n">
        <x:v>5768.788</x:v>
      </x:c>
      <x:c r="L71" s="10" t="n">
        <x:v>7428.943</x:v>
      </x:c>
      <x:c r="M71" s="10" t="n">
        <x:v>8595.636</x:v>
      </x:c>
      <x:c r="N71" s="10" t="n">
        <x:v>7365.847</x:v>
      </x:c>
      <x:c r="O71" s="10" t="n">
        <x:v>10807.184284</x:v>
      </x:c>
      <x:c r="P71" s="10" t="n">
        <x:v>13369.1907</x:v>
      </x:c>
      <x:c r="Q71" s="10" t="n">
        <x:v>15334.367798</x:v>
      </x:c>
      <x:c r="R71" s="10" t="n">
        <x:v>1037.296</x:v>
      </x:c>
      <x:c r="S71" s="10" t="n">
        <x:v>1172.799</x:v>
      </x:c>
      <x:c r="T71" s="10" t="n">
        <x:v>1269.058</x:v>
      </x:c>
      <x:c r="U71" s="10" t="n">
        <x:v>1842.779</x:v>
      </x:c>
      <x:c r="V71" s="10" t="n">
        <x:v>2955.322275</x:v>
      </x:c>
      <x:c r="W71" s="10" t="n">
        <x:v>3443.64</x:v>
      </x:c>
      <x:c r="X71" s="10" t="n">
        <x:v>4095.295</x:v>
      </x:c>
      <x:c r="Y71" s="10" t="n">
        <x:v>6608.11</x:v>
      </x:c>
      <x:c r="Z71" s="10" t="n">
        <x:v>9205.946</x:v>
      </x:c>
      <x:c r="AA71" s="10" t="n">
        <x:v>8675.937</x:v>
      </x:c>
      <x:c r="AB71" s="10" t="n">
        <x:v>11423.584625</x:v>
      </x:c>
      <x:c r="AC71" s="10" t="n">
        <x:v>32065.330059</x:v>
      </x:c>
      <x:c r="AD71" s="10" t="n">
        <x:v>44615.457252</x:v>
      </x:c>
      <x:c r="AE71" s="10" t="n">
        <x:f>IF(A71=B71,0,AVERAGE(E71:Q71))</x:f>
        <x:v>6219.6266121538465</x:v>
      </x:c>
      <x:c r="AF71" s="10" t="n">
        <x:f>IF(A71=B71,0,AVERAGE(R71:AD71))</x:f>
        <x:v>9877.734939307693</x:v>
      </x:c>
      <x:c r="AG71" s="10" t="n">
        <x:f>AE71+AF71</x:f>
        <x:v>16097.36155146154</x:v>
      </x:c>
    </x:row>
    <x:row r="72">
      <x:c r="A72" t="str">
        <x:v>EA</x:v>
      </x:c>
      <x:c r="B72" t="str">
        <x:v>AU</x:v>
      </x:c>
      <x:c r="C72" t="str">
        <x:v>Euro Area (EA)</x:v>
      </x:c>
      <x:c r="D72" t="str">
        <x:v>Australia</x:v>
      </x:c>
      <x:c r="E72" s="10" t="n">
        <x:v>9381.838975</x:v>
      </x:c>
      <x:c r="F72" s="10" t="n">
        <x:v>9621.435381</x:v>
      </x:c>
      <x:c r="G72" s="10" t="n">
        <x:v>11443.321426</x:v>
      </x:c>
      <x:c r="H72" s="10" t="n">
        <x:v>14347.47375</x:v>
      </x:c>
      <x:c r="I72" s="10" t="n">
        <x:v>18007.156465</x:v>
      </x:c>
      <x:c r="J72" s="10" t="n">
        <x:v>18616.775634</x:v>
      </x:c>
      <x:c r="K72" s="10" t="n">
        <x:v>19241.991615</x:v>
      </x:c>
      <x:c r="L72" s="10" t="n">
        <x:v>22872.839962</x:v>
      </x:c>
      <x:c r="M72" s="10" t="n">
        <x:v>27873.999472</x:v>
      </x:c>
      <x:c r="N72" s="10" t="n">
        <x:v>22990.410256</x:v>
      </x:c>
      <x:c r="O72" s="10" t="n">
        <x:v>26918.095221</x:v>
      </x:c>
      <x:c r="P72" s="10" t="n">
        <x:v>31760.506449</x:v>
      </x:c>
      <x:c r="Q72" s="10" t="n">
        <x:v>32301.342532</x:v>
      </x:c>
      <x:c r="R72" s="10" t="n">
        <x:v>5388.28293</x:v>
      </x:c>
      <x:c r="S72" s="10" t="n">
        <x:v>5268.938934</x:v>
      </x:c>
      <x:c r="T72" s="10" t="n">
        <x:v>5188.422348</x:v>
      </x:c>
      <x:c r="U72" s="10" t="n">
        <x:v>5757.024575</x:v>
      </x:c>
      <x:c r="V72" s="10" t="n">
        <x:v>6861.703909</x:v>
      </x:c>
      <x:c r="W72" s="10" t="n">
        <x:v>7510.1748</x:v>
      </x:c>
      <x:c r="X72" s="10" t="n">
        <x:v>9554.300715</x:v>
      </x:c>
      <x:c r="Y72" s="10" t="n">
        <x:v>10895.215342</x:v>
      </x:c>
      <x:c r="Z72" s="10" t="n">
        <x:v>11063.638917</x:v>
      </x:c>
      <x:c r="AA72" s="10" t="n">
        <x:v>7426.636152</x:v>
      </x:c>
      <x:c r="AB72" s="10" t="n">
        <x:v>8514.897064</x:v>
      </x:c>
      <x:c r="AC72" s="10" t="n">
        <x:v>11336.251507</x:v>
      </x:c>
      <x:c r="AD72" s="10" t="n">
        <x:v>10030.91208</x:v>
      </x:c>
      <x:c r="AE72" s="10" t="n">
        <x:f>IF(A72=B72,0,AVERAGE(E72:Q72))</x:f>
        <x:v>20413.629779846153</x:v>
      </x:c>
      <x:c r="AF72" s="10" t="n">
        <x:f>IF(A72=B72,0,AVERAGE(R72:AD72))</x:f>
        <x:v>8061.261482538462</x:v>
      </x:c>
      <x:c r="AG72" s="10" t="n">
        <x:f>AE72+AF72</x:f>
        <x:v>28474.891262384615</x:v>
      </x:c>
    </x:row>
    <x:row r="73">
      <x:c r="A73" t="str">
        <x:v>EA</x:v>
      </x:c>
      <x:c r="B73" t="str">
        <x:v>BR</x:v>
      </x:c>
      <x:c r="C73" t="str">
        <x:v>Euro Area (EA)</x:v>
      </x:c>
      <x:c r="D73" t="str">
        <x:v>Brazil</x:v>
      </x:c>
      <x:c r="E73" s="10" t="n">
        <x:v>13213.554952</x:v>
      </x:c>
      <x:c r="F73" s="10" t="n">
        <x:v>14417.982475</x:v>
      </x:c>
      <x:c r="G73" s="10" t="n">
        <x:v>12671.786998</x:v>
      </x:c>
      <x:c r="H73" s="10" t="n">
        <x:v>11707.228154</x:v>
      </x:c>
      <x:c r="I73" s="10" t="n">
        <x:v>14887.634477</x:v>
      </x:c>
      <x:c r="J73" s="10" t="n">
        <x:v>16952.758994</x:v>
      </x:c>
      <x:c r="K73" s="10" t="n">
        <x:v>18878.058782</x:v>
      </x:c>
      <x:c r="L73" s="10" t="n">
        <x:v>24905.557519</x:v>
      </x:c>
      <x:c r="M73" s="10" t="n">
        <x:v>32765.106511</x:v>
      </x:c>
      <x:c r="N73" s="10" t="n">
        <x:v>25704.109556</x:v>
      </x:c>
      <x:c r="O73" s="10" t="n">
        <x:v>35262.390103</x:v>
      </x:c>
      <x:c r="P73" s="10" t="n">
        <x:v>41929.442119</x:v>
      </x:c>
      <x:c r="Q73" s="10" t="n">
        <x:v>42907.87957</x:v>
      </x:c>
      <x:c r="R73" s="10" t="n">
        <x:v>14205.159773</x:v>
      </x:c>
      <x:c r="S73" s="10" t="n">
        <x:v>14292.407112</x:v>
      </x:c>
      <x:c r="T73" s="10" t="n">
        <x:v>14136.274944</x:v>
      </x:c>
      <x:c r="U73" s="10" t="n">
        <x:v>17788.76764</x:v>
      </x:c>
      <x:c r="V73" s="10" t="n">
        <x:v>21986.318564</x:v>
      </x:c>
      <x:c r="W73" s="10" t="n">
        <x:v>24715.55767</x:v>
      </x:c>
      <x:c r="X73" s="10" t="n">
        <x:v>28380.728447</x:v>
      </x:c>
      <x:c r="Y73" s="10" t="n">
        <x:v>38487.195004</x:v>
      </x:c>
      <x:c r="Z73" s="10" t="n">
        <x:v>45164.527337</x:v>
      </x:c>
      <x:c r="AA73" s="10" t="n">
        <x:v>30039.910737</x:v>
      </x:c>
      <x:c r="AB73" s="10" t="n">
        <x:v>35916.020155</x:v>
      </x:c>
      <x:c r="AC73" s="10" t="n">
        <x:v>45681.861058</x:v>
      </x:c>
      <x:c r="AD73" s="10" t="n">
        <x:v>40112.330567</x:v>
      </x:c>
      <x:c r="AE73" s="10" t="n">
        <x:f>IF(A73=B73,0,AVERAGE(E73:Q73))</x:f>
        <x:v>23554.11463153846</x:v>
      </x:c>
      <x:c r="AF73" s="10" t="n">
        <x:f>IF(A73=B73,0,AVERAGE(R73:AD73))</x:f>
        <x:v>28531.31223138462</x:v>
      </x:c>
      <x:c r="AG73" s="10" t="n">
        <x:f>AE73+AF73</x:f>
        <x:v>52085.42686292308</x:v>
      </x:c>
    </x:row>
    <x:row r="74">
      <x:c r="A74" t="str">
        <x:v>EA</x:v>
      </x:c>
      <x:c r="B74" t="str">
        <x:v>CA</x:v>
      </x:c>
      <x:c r="C74" t="str">
        <x:v>Euro Area (EA)</x:v>
      </x:c>
      <x:c r="D74" t="str">
        <x:v>Canada</x:v>
      </x:c>
      <x:c r="E74" s="10" t="n">
        <x:v>12499.030238</x:v>
      </x:c>
      <x:c r="F74" s="10" t="n">
        <x:v>13858.234395</x:v>
      </x:c>
      <x:c r="G74" s="10" t="n">
        <x:v>15126.652165</x:v>
      </x:c>
      <x:c r="H74" s="10" t="n">
        <x:v>16771.460264</x:v>
      </x:c>
      <x:c r="I74" s="10" t="n">
        <x:v>18849.466292</x:v>
      </x:c>
      <x:c r="J74" s="10" t="n">
        <x:v>20629.59278</x:v>
      </x:c>
      <x:c r="K74" s="10" t="n">
        <x:v>23033.182108</x:v>
      </x:c>
      <x:c r="L74" s="10" t="n">
        <x:v>25372.6265</x:v>
      </x:c>
      <x:c r="M74" s="10" t="n">
        <x:v>27572.240706</x:v>
      </x:c>
      <x:c r="N74" s="10" t="n">
        <x:v>22042.54803</x:v>
      </x:c>
      <x:c r="O74" s="10" t="n">
        <x:v>24514.62389</x:v>
      </x:c>
      <x:c r="P74" s="10" t="n">
        <x:v>29117.630979</x:v>
      </x:c>
      <x:c r="Q74" s="10" t="n">
        <x:v>29554.747283</x:v>
      </x:c>
      <x:c r="R74" s="10" t="n">
        <x:v>10928.764893</x:v>
      </x:c>
      <x:c r="S74" s="10" t="n">
        <x:v>10202.041854</x:v>
      </x:c>
      <x:c r="T74" s="10" t="n">
        <x:v>9520.156566</x:v>
      </x:c>
      <x:c r="U74" s="10" t="n">
        <x:v>10934.966331</x:v>
      </x:c>
      <x:c r="V74" s="10" t="n">
        <x:v>11906.848333</x:v>
      </x:c>
      <x:c r="W74" s="10" t="n">
        <x:v>12926.54389</x:v>
      </x:c>
      <x:c r="X74" s="10" t="n">
        <x:v>14435.94065</x:v>
      </x:c>
      <x:c r="Y74" s="10" t="n">
        <x:v>18995.877365</x:v>
      </x:c>
      <x:c r="Z74" s="10" t="n">
        <x:v>21908.877864</x:v>
      </x:c>
      <x:c r="AA74" s="10" t="n">
        <x:v>15215.699968</x:v>
      </x:c>
      <x:c r="AB74" s="10" t="n">
        <x:v>17055.130587</x:v>
      </x:c>
      <x:c r="AC74" s="10" t="n">
        <x:v>20894.223922</x:v>
      </x:c>
      <x:c r="AD74" s="10" t="n">
        <x:v>18393.437749</x:v>
      </x:c>
      <x:c r="AE74" s="10" t="n">
        <x:f>IF(A74=B74,0,AVERAGE(E74:Q74))</x:f>
        <x:v>21457.079663846154</x:v>
      </x:c>
      <x:c r="AF74" s="10" t="n">
        <x:f>IF(A74=B74,0,AVERAGE(R74:AD74))</x:f>
        <x:v>14870.654613230772</x:v>
      </x:c>
      <x:c r="AG74" s="10" t="n">
        <x:f>AE74+AF74</x:f>
        <x:v>36327.734277076925</x:v>
      </x:c>
    </x:row>
    <x:row r="75">
      <x:c r="A75" t="str">
        <x:v>EA</x:v>
      </x:c>
      <x:c r="B75" t="str">
        <x:v>CH</x:v>
      </x:c>
      <x:c r="C75" t="str">
        <x:v>Euro Area (EA)</x:v>
      </x:c>
      <x:c r="D75" t="str">
        <x:v>Switzerland</x:v>
      </x:c>
      <x:c r="E75" s="10" t="n">
        <x:v>59883.998991</x:v>
      </x:c>
      <x:c r="F75" s="10" t="n">
        <x:v>60490.392466</x:v>
      </x:c>
      <x:c r="G75" s="10" t="n">
        <x:v>61619.228349</x:v>
      </x:c>
      <x:c r="H75" s="10" t="n">
        <x:v>73680.690739</x:v>
      </x:c>
      <x:c r="I75" s="10" t="n">
        <x:v>85050.195122</x:v>
      </x:c>
      <x:c r="J75" s="10" t="n">
        <x:v>89679.812674</x:v>
      </x:c>
      <x:c r="K75" s="10" t="n">
        <x:v>99318.63669</x:v>
      </x:c>
      <x:c r="L75" s="10" t="n">
        <x:v>114915.539106</x:v>
      </x:c>
      <x:c r="M75" s="10" t="n">
        <x:v>129776.343996</x:v>
      </x:c>
      <x:c r="N75" s="10" t="n">
        <x:v>111893.637948</x:v>
      </x:c>
      <x:c r="O75" s="10" t="n">
        <x:v>124947.107567</x:v>
      </x:c>
      <x:c r="P75" s="10" t="n">
        <x:v>153493.482264</x:v>
      </x:c>
      <x:c r="Q75" s="10" t="n">
        <x:v>151046.281873</x:v>
      </x:c>
      <x:c r="R75" s="10" t="n">
        <x:v>47772.898583</x:v>
      </x:c>
      <x:c r="S75" s="10" t="n">
        <x:v>48903.463719</x:v>
      </x:c>
      <x:c r="T75" s="10" t="n">
        <x:v>50644.048573</x:v>
      </x:c>
      <x:c r="U75" s="10" t="n">
        <x:v>59126.222527</x:v>
      </x:c>
      <x:c r="V75" s="10" t="n">
        <x:v>68801.907822</x:v>
      </x:c>
      <x:c r="W75" s="10" t="n">
        <x:v>74159.800908</x:v>
      </x:c>
      <x:c r="X75" s="10" t="n">
        <x:v>80090.389162</x:v>
      </x:c>
      <x:c r="Y75" s="10" t="n">
        <x:v>94760.918227</x:v>
      </x:c>
      <x:c r="Z75" s="10" t="n">
        <x:v>105508.931132</x:v>
      </x:c>
      <x:c r="AA75" s="10" t="n">
        <x:v>92899.422653</x:v>
      </x:c>
      <x:c r="AB75" s="10" t="n">
        <x:v>97288.147415</x:v>
      </x:c>
      <x:c r="AC75" s="10" t="n">
        <x:v>113631.783762</x:v>
      </x:c>
      <x:c r="AD75" s="10" t="n">
        <x:v>104384.699011</x:v>
      </x:c>
      <x:c r="AE75" s="10" t="n">
        <x:f>IF(A75=B75,0,AVERAGE(E75:Q75))</x:f>
        <x:v>101215.02675269231</x:v>
      </x:c>
      <x:c r="AF75" s="10" t="n">
        <x:f>IF(A75=B75,0,AVERAGE(R75:AD75))</x:f>
        <x:v>79844.0487303077</x:v>
      </x:c>
      <x:c r="AG75" s="10" t="n">
        <x:f>AE75+AF75</x:f>
        <x:v>181059.07548300002</x:v>
      </x:c>
    </x:row>
    <x:row r="76">
      <x:c r="A76" t="str">
        <x:v>EA</x:v>
      </x:c>
      <x:c r="B76" t="str">
        <x:v>CN</x:v>
      </x:c>
      <x:c r="C76" t="str">
        <x:v>Euro Area (EA)</x:v>
      </x:c>
      <x:c r="D76" t="str">
        <x:v>China, People's Republic of</x:v>
      </x:c>
      <x:c r="E76" s="10" t="n">
        <x:v>18932.878625</x:v>
      </x:c>
      <x:c r="F76" s="10" t="n">
        <x:v>22544.189295</x:v>
      </x:c>
      <x:c r="G76" s="10" t="n">
        <x:v>28431.886308</x:v>
      </x:c>
      <x:c r="H76" s="10" t="n">
        <x:v>39866.456829</x:v>
      </x:c>
      <x:c r="I76" s="10" t="n">
        <x:v>50749.139071</x:v>
      </x:c>
      <x:c r="J76" s="10" t="n">
        <x:v>54096.1215</x:v>
      </x:c>
      <x:c r="K76" s="10" t="n">
        <x:v>68023.82628</x:v>
      </x:c>
      <x:c r="L76" s="10" t="n">
        <x:v>83180.278887</x:v>
      </x:c>
      <x:c r="M76" s="10" t="n">
        <x:v>96840.181547</x:v>
      </x:c>
      <x:c r="N76" s="10" t="n">
        <x:v>97314.108569</x:v>
      </x:c>
      <x:c r="O76" s="10" t="n">
        <x:v>126797.362404</x:v>
      </x:c>
      <x:c r="P76" s="10" t="n">
        <x:v>160987.376274</x:v>
      </x:c>
      <x:c r="Q76" s="10" t="n">
        <x:v>154990.932927</x:v>
      </x:c>
      <x:c r="R76" s="10" t="n">
        <x:v>49366.825895</x:v>
      </x:c>
      <x:c r="S76" s="10" t="n">
        <x:v>52393.643069</x:v>
      </x:c>
      <x:c r="T76" s="10" t="n">
        <x:v>60056.778186</x:v>
      </x:c>
      <x:c r="U76" s="10" t="n">
        <x:v>86670.058474</x:v>
      </x:c>
      <x:c r="V76" s="10" t="n">
        <x:v>118193.248586</x:v>
      </x:c>
      <x:c r="W76" s="10" t="n">
        <x:v>149374.120795</x:v>
      </x:c>
      <x:c r="X76" s="10" t="n">
        <x:v>184645.813633</x:v>
      </x:c>
      <x:c r="Y76" s="10" t="n">
        <x:v>240294.187204</x:v>
      </x:c>
      <x:c r="Z76" s="10" t="n">
        <x:v>274718.945718</x:v>
      </x:c>
      <x:c r="AA76" s="10" t="n">
        <x:v>223177.249411</x:v>
      </x:c>
      <x:c r="AB76" s="10" t="n">
        <x:v>271810.218908</x:v>
      </x:c>
      <x:c r="AC76" s="10" t="n">
        <x:v>295355.003818</x:v>
      </x:c>
      <x:c r="AD76" s="10" t="n">
        <x:v>267569.126318</x:v>
      </x:c>
      <x:c r="AE76" s="10" t="n">
        <x:f>IF(A76=B76,0,AVERAGE(E76:Q76))</x:f>
        <x:v>77134.97988584616</x:v>
      </x:c>
      <x:c r="AF76" s="10" t="n">
        <x:f>IF(A76=B76,0,AVERAGE(R76:AD76))</x:f>
        <x:v>174894.24769346154</x:v>
      </x:c>
      <x:c r="AG76" s="10" t="n">
        <x:f>AE76+AF76</x:f>
        <x:v>252029.22757930768</x:v>
      </x:c>
    </x:row>
    <x:row r="77">
      <x:c r="A77" t="str">
        <x:v>EA</x:v>
      </x:c>
      <x:c r="B77" t="str">
        <x:v>EA</x:v>
      </x:c>
      <x:c r="C77" t="str">
        <x:v>Euro Area (EA)</x:v>
      </x:c>
      <x:c r="D77" t="str">
        <x:v>Euro Area (EA)</x:v>
      </x:c>
      <x:c r="E77" s="10" t="n">
        <x:v>1009768.535473</x:v>
      </x:c>
      <x:c r="F77" s="10" t="n">
        <x:v>1015756.58373</x:v>
      </x:c>
      <x:c r="G77" s="10" t="n">
        <x:v>1077128.175758</x:v>
      </x:c>
      <x:c r="H77" s="10" t="n">
        <x:v>1328643.14657</x:v>
      </x:c>
      <x:c r="I77" s="10" t="n">
        <x:v>1568344.019926</x:v>
      </x:c>
      <x:c r="J77" s="10" t="n">
        <x:v>1667735.975654</x:v>
      </x:c>
      <x:c r="K77" s="10" t="n">
        <x:v>1850054.179757</x:v>
      </x:c>
      <x:c r="L77" s="10" t="n">
        <x:v>2175682.882547</x:v>
      </x:c>
      <x:c r="M77" s="10" t="n">
        <x:v>2387457.164872</x:v>
      </x:c>
      <x:c r="N77" s="10" t="n">
        <x:v>1847080.427154</x:v>
      </x:c>
      <x:c r="O77" s="10" t="n">
        <x:v>2006706.959336</x:v>
      </x:c>
      <x:c r="P77" s="10" t="n">
        <x:v>2299376.779263</x:v>
      </x:c>
      <x:c r="Q77" s="10" t="n">
        <x:v>2111768.22568</x:v>
      </x:c>
      <x:c r="R77" s="10" t="n">
        <x:v>964121.50123</x:v>
      </x:c>
      <x:c r="S77" s="10" t="n">
        <x:v>968854.885397</x:v>
      </x:c>
      <x:c r="T77" s="10" t="n">
        <x:v>1025049.976797</x:v>
      </x:c>
      <x:c r="U77" s="10" t="n">
        <x:v>1269541.37035</x:v>
      </x:c>
      <x:c r="V77" s="10" t="n">
        <x:v>1514877.99153</x:v>
      </x:c>
      <x:c r="W77" s="10" t="n">
        <x:v>1606739.51061</x:v>
      </x:c>
      <x:c r="X77" s="10" t="n">
        <x:v>1795036.140565</x:v>
      </x:c>
      <x:c r="Y77" s="10" t="n">
        <x:v>2124750.180654</x:v>
      </x:c>
      <x:c r="Z77" s="10" t="n">
        <x:v>2331022.802337</x:v>
      </x:c>
      <x:c r="AA77" s="10" t="n">
        <x:v>1800915.896644</x:v>
      </x:c>
      <x:c r="AB77" s="10" t="n">
        <x:v>1895685.095377</x:v>
      </x:c>
      <x:c r="AC77" s="10" t="n">
        <x:v>2192887.874942</x:v>
      </x:c>
      <x:c r="AD77" s="10" t="n">
        <x:v>2013439.820859</x:v>
      </x:c>
      <x:c r="AE77" s="10" t="n">
        <x:f>IF(A77=B77,0,AVERAGE(E77:Q77))</x:f>
        <x:v>0</x:v>
      </x:c>
      <x:c r="AF77" s="10" t="n">
        <x:f>IF(A77=B77,0,AVERAGE(R77:AD77))</x:f>
        <x:v>0</x:v>
      </x:c>
      <x:c r="AG77" s="10" t="n">
        <x:f>AE77+AF77</x:f>
        <x:v>0</x:v>
      </x:c>
    </x:row>
    <x:row r="78">
      <x:c r="A78" t="str">
        <x:v>EA</x:v>
      </x:c>
      <x:c r="B78" t="str">
        <x:v>UK</x:v>
      </x:c>
      <x:c r="C78" t="str">
        <x:v>Euro Area (EA)</x:v>
      </x:c>
      <x:c r="D78" t="str">
        <x:v>United Kingdom</x:v>
      </x:c>
      <x:c r="E78" s="10" t="n">
        <x:v>174793.831195</x:v>
      </x:c>
      <x:c r="F78" s="10" t="n">
        <x:v>182971.545052</x:v>
      </x:c>
      <x:c r="G78" s="10" t="n">
        <x:v>196388.804499</x:v>
      </x:c>
      <x:c r="H78" s="10" t="n">
        <x:v>222302.767195</x:v>
      </x:c>
      <x:c r="I78" s="10" t="n">
        <x:v>258424.607957</x:v>
      </x:c>
      <x:c r="J78" s="10" t="n">
        <x:v>255902.837253</x:v>
      </x:c>
      <x:c r="K78" s="10" t="n">
        <x:v>276552.515255</x:v>
      </x:c>
      <x:c r="L78" s="10" t="n">
        <x:v>318839.646804</x:v>
      </x:c>
      <x:c r="M78" s="10" t="n">
        <x:v>328012.539228</x:v>
      </x:c>
      <x:c r="N78" s="10" t="n">
        <x:v>246665.57432</x:v>
      </x:c>
      <x:c r="O78" s="10" t="n">
        <x:v>261136.882231</x:v>
      </x:c>
      <x:c r="P78" s="10" t="n">
        <x:v>298999.565669</x:v>
      </x:c>
      <x:c r="Q78" s="10" t="n">
        <x:v>294688.166069</x:v>
      </x:c>
      <x:c r="R78" s="10" t="n">
        <x:v>148106.433507</x:v>
      </x:c>
      <x:c r="S78" s="10" t="n">
        <x:v>140536.991142</x:v>
      </x:c>
      <x:c r="T78" s="10" t="n">
        <x:v>143674.976953</x:v>
      </x:c>
      <x:c r="U78" s="10" t="n">
        <x:v>159413.224122</x:v>
      </x:c>
      <x:c r="V78" s="10" t="n">
        <x:v>183119.744291</x:v>
      </x:c>
      <x:c r="W78" s="10" t="n">
        <x:v>192538.47247</x:v>
      </x:c>
      <x:c r="X78" s="10" t="n">
        <x:v>213095.748612</x:v>
      </x:c>
      <x:c r="Y78" s="10" t="n">
        <x:v>235956.643002</x:v>
      </x:c>
      <x:c r="Z78" s="10" t="n">
        <x:v>245964.089922</x:v>
      </x:c>
      <x:c r="AA78" s="10" t="n">
        <x:v>180366.292135</x:v>
      </x:c>
      <x:c r="AB78" s="10" t="n">
        <x:v>194157.006792</x:v>
      </x:c>
      <x:c r="AC78" s="10" t="n">
        <x:v>228375.057344</x:v>
      </x:c>
      <x:c r="AD78" s="10" t="n">
        <x:v>208906.274144</x:v>
      </x:c>
      <x:c r="AE78" s="10" t="n">
        <x:f>IF(A78=B78,0,AVERAGE(E78:Q78))</x:f>
        <x:v>255052.25251746157</x:v>
      </x:c>
      <x:c r="AF78" s="10" t="n">
        <x:f>IF(A78=B78,0,AVERAGE(R78:AD78))</x:f>
        <x:v>190323.91957199998</x:v>
      </x:c>
      <x:c r="AG78" s="10" t="n">
        <x:f>AE78+AF78</x:f>
        <x:v>445376.1720894616</x:v>
      </x:c>
    </x:row>
    <x:row r="79">
      <x:c r="A79" t="str">
        <x:v>EA</x:v>
      </x:c>
      <x:c r="B79" t="str">
        <x:v>JP</x:v>
      </x:c>
      <x:c r="C79" t="str">
        <x:v>Euro Area (EA)</x:v>
      </x:c>
      <x:c r="D79" t="str">
        <x:v>Japan</x:v>
      </x:c>
      <x:c r="E79" s="10" t="n">
        <x:v>31749.215778</x:v>
      </x:c>
      <x:c r="F79" s="10" t="n">
        <x:v>31095.771061</x:v>
      </x:c>
      <x:c r="G79" s="10" t="n">
        <x:v>31622.413137</x:v>
      </x:c>
      <x:c r="H79" s="10" t="n">
        <x:v>35739.649211</x:v>
      </x:c>
      <x:c r="I79" s="10" t="n">
        <x:v>41736.427762</x:v>
      </x:c>
      <x:c r="J79" s="10" t="n">
        <x:v>42641.920165</x:v>
      </x:c>
      <x:c r="K79" s="10" t="n">
        <x:v>43639.022946</x:v>
      </x:c>
      <x:c r="L79" s="10" t="n">
        <x:v>47105.754539</x:v>
      </x:c>
      <x:c r="M79" s="10" t="n">
        <x:v>49632.542582</x:v>
      </x:c>
      <x:c r="N79" s="10" t="n">
        <x:v>40256.366908</x:v>
      </x:c>
      <x:c r="O79" s="10" t="n">
        <x:v>46221.152779</x:v>
      </x:c>
      <x:c r="P79" s="10" t="n">
        <x:v>54986.246813</x:v>
      </x:c>
      <x:c r="Q79" s="10" t="n">
        <x:v>57652.15491</x:v>
      </x:c>
      <x:c r="R79" s="10" t="n">
        <x:v>62667.460483</x:v>
      </x:c>
      <x:c r="S79" s="10" t="n">
        <x:v>53600.79184</x:v>
      </x:c>
      <x:c r="T79" s="10" t="n">
        <x:v>51005.523169</x:v>
      </x:c>
      <x:c r="U79" s="10" t="n">
        <x:v>60461.981787</x:v>
      </x:c>
      <x:c r="V79" s="10" t="n">
        <x:v>69118.267111</x:v>
      </x:c>
      <x:c r="W79" s="10" t="n">
        <x:v>67673.032716</x:v>
      </x:c>
      <x:c r="X79" s="10" t="n">
        <x:v>72637.814954</x:v>
      </x:c>
      <x:c r="Y79" s="10" t="n">
        <x:v>81679.251353</x:v>
      </x:c>
      <x:c r="Z79" s="10" t="n">
        <x:v>85085.935017</x:v>
      </x:c>
      <x:c r="AA79" s="10" t="n">
        <x:v>62107.095975</x:v>
      </x:c>
      <x:c r="AB79" s="10" t="n">
        <x:v>67312.94216</x:v>
      </x:c>
      <x:c r="AC79" s="10" t="n">
        <x:v>71230.062443</x:v>
      </x:c>
      <x:c r="AD79" s="10" t="n">
        <x:v>60724.481133</x:v>
      </x:c>
      <x:c r="AE79" s="10" t="n">
        <x:f>IF(A79=B79,0,AVERAGE(E79:Q79))</x:f>
        <x:v>42621.43373776923</x:v>
      </x:c>
      <x:c r="AF79" s="10" t="n">
        <x:f>IF(A79=B79,0,AVERAGE(R79:AD79))</x:f>
        <x:v>66561.89539546153</x:v>
      </x:c>
      <x:c r="AG79" s="10" t="n">
        <x:f>AE79+AF79</x:f>
        <x:v>109183.32913323076</x:v>
      </x:c>
    </x:row>
    <x:row r="80">
      <x:c r="A80" t="str">
        <x:v>EA</x:v>
      </x:c>
      <x:c r="B80" t="str">
        <x:v>KR</x:v>
      </x:c>
      <x:c r="C80" t="str">
        <x:v>Euro Area (EA)</x:v>
      </x:c>
      <x:c r="D80" t="str">
        <x:v>Korea, Republic of</x:v>
      </x:c>
      <x:c r="E80" s="10" t="n">
        <x:v>12139.277701</x:v>
      </x:c>
      <x:c r="F80" s="10" t="n">
        <x:v>11392.629491</x:v>
      </x:c>
      <x:c r="G80" s="10" t="n">
        <x:v>13422.243805</x:v>
      </x:c>
      <x:c r="H80" s="10" t="n">
        <x:v>15053.41396</x:v>
      </x:c>
      <x:c r="I80" s="10" t="n">
        <x:v>18162.670764</x:v>
      </x:c>
      <x:c r="J80" s="10" t="n">
        <x:v>20361.749985</x:v>
      </x:c>
      <x:c r="K80" s="10" t="n">
        <x:v>23640.021705</x:v>
      </x:c>
      <x:c r="L80" s="10" t="n">
        <x:v>27804.013479</x:v>
      </x:c>
      <x:c r="M80" s="10" t="n">
        <x:v>30248.25608</x:v>
      </x:c>
      <x:c r="N80" s="10" t="n">
        <x:v>24700.515842</x:v>
      </x:c>
      <x:c r="O80" s="10" t="n">
        <x:v>30599.106517</x:v>
      </x:c>
      <x:c r="P80" s="10" t="n">
        <x:v>37487.509228</x:v>
      </x:c>
      <x:c r="Q80" s="10" t="n">
        <x:v>37542.081953</x:v>
      </x:c>
      <x:c r="R80" s="10" t="n">
        <x:v>17031.195853</x:v>
      </x:c>
      <x:c r="S80" s="10" t="n">
        <x:v>14825.04982</x:v>
      </x:c>
      <x:c r="T80" s="10" t="n">
        <x:v>16683.502369</x:v>
      </x:c>
      <x:c r="U80" s="10" t="n">
        <x:v>21738.425917</x:v>
      </x:c>
      <x:c r="V80" s="10" t="n">
        <x:v>28158.456447</x:v>
      </x:c>
      <x:c r="W80" s="10" t="n">
        <x:v>32770.935347</x:v>
      </x:c>
      <x:c r="X80" s="10" t="n">
        <x:v>39434.277897</x:v>
      </x:c>
      <x:c r="Y80" s="10" t="n">
        <x:v>43238.86653</x:v>
      </x:c>
      <x:c r="Z80" s="10" t="n">
        <x:v>42993.233343</x:v>
      </x:c>
      <x:c r="AA80" s="10" t="n">
        <x:v>32651.288613</x:v>
      </x:c>
      <x:c r="AB80" s="10" t="n">
        <x:v>35982.628326</x:v>
      </x:c>
      <x:c r="AC80" s="10" t="n">
        <x:v>35646.044531</x:v>
      </x:c>
      <x:c r="AD80" s="10" t="n">
        <x:v>33027.395593</x:v>
      </x:c>
      <x:c r="AE80" s="10" t="n">
        <x:f>IF(A80=B80,0,AVERAGE(E80:Q80))</x:f>
        <x:v>23273.345423846153</x:v>
      </x:c>
      <x:c r="AF80" s="10" t="n">
        <x:f>IF(A80=B80,0,AVERAGE(R80:AD80))</x:f>
        <x:v>30321.638506615385</x:v>
      </x:c>
      <x:c r="AG80" s="10" t="n">
        <x:f>AE80+AF80</x:f>
        <x:v>53594.98393046154</x:v>
      </x:c>
    </x:row>
    <x:row r="81">
      <x:c r="A81" t="str">
        <x:v>EA</x:v>
      </x:c>
      <x:c r="B81" t="str">
        <x:v>NO</x:v>
      </x:c>
      <x:c r="C81" t="str">
        <x:v>Euro Area (EA)</x:v>
      </x:c>
      <x:c r="D81" t="str">
        <x:v>Norway</x:v>
      </x:c>
      <x:c r="E81" s="10" t="n">
        <x:v>11477.254026</x:v>
      </x:c>
      <x:c r="F81" s="10" t="n">
        <x:v>11823.040941</x:v>
      </x:c>
      <x:c r="G81" s="10" t="n">
        <x:v>12361.53173</x:v>
      </x:c>
      <x:c r="H81" s="10" t="n">
        <x:v>14456.644867</x:v>
      </x:c>
      <x:c r="I81" s="10" t="n">
        <x:v>18118.753518</x:v>
      </x:c>
      <x:c r="J81" s="10" t="n">
        <x:v>19896.619209</x:v>
      </x:c>
      <x:c r="K81" s="10" t="n">
        <x:v>22839.871564</x:v>
      </x:c>
      <x:c r="L81" s="10" t="n">
        <x:v>28733.175641</x:v>
      </x:c>
      <x:c r="M81" s="10" t="n">
        <x:v>31114.335551</x:v>
      </x:c>
      <x:c r="N81" s="10" t="n">
        <x:v>24784.648534</x:v>
      </x:c>
      <x:c r="O81" s="10" t="n">
        <x:v>25907.744907</x:v>
      </x:c>
      <x:c r="P81" s="10" t="n">
        <x:v>30225.433075</x:v>
      </x:c>
      <x:c r="Q81" s="10" t="n">
        <x:v>29463.505201</x:v>
      </x:c>
      <x:c r="R81" s="10" t="n">
        <x:v>25182.007987</x:v>
      </x:c>
      <x:c r="S81" s="10" t="n">
        <x:v>24574.097479</x:v>
      </x:c>
      <x:c r="T81" s="10" t="n">
        <x:v>27983.584469</x:v>
      </x:c>
      <x:c r="U81" s="10" t="n">
        <x:v>35437.47879</x:v>
      </x:c>
      <x:c r="V81" s="10" t="n">
        <x:v>39682.446557</x:v>
      </x:c>
      <x:c r="W81" s="10" t="n">
        <x:v>46175.260718</x:v>
      </x:c>
      <x:c r="X81" s="10" t="n">
        <x:v>58476.599847</x:v>
      </x:c>
      <x:c r="Y81" s="10" t="n">
        <x:v>59987.559681</x:v>
      </x:c>
      <x:c r="Z81" s="10" t="n">
        <x:v>79407.523694</x:v>
      </x:c>
      <x:c r="AA81" s="10" t="n">
        <x:v>54894.649563</x:v>
      </x:c>
      <x:c r="AB81" s="10" t="n">
        <x:v>54477.896996</x:v>
      </x:c>
      <x:c r="AC81" s="10" t="n">
        <x:v>68361.430268</x:v>
      </x:c>
      <x:c r="AD81" s="10" t="n">
        <x:v>67103.823059</x:v>
      </x:c>
      <x:c r="AE81" s="10" t="n">
        <x:f>IF(A81=B81,0,AVERAGE(E81:Q81))</x:f>
        <x:v>21630.96605876923</x:v>
      </x:c>
      <x:c r="AF81" s="10" t="n">
        <x:f>IF(A81=B81,0,AVERAGE(R81:AD81))</x:f>
        <x:v>49364.95070061538</x:v>
      </x:c>
      <x:c r="AG81" s="10" t="n">
        <x:f>AE81+AF81</x:f>
        <x:v>70995.9167593846</x:v>
      </x:c>
    </x:row>
    <x:row r="82">
      <x:c r="A82" t="str">
        <x:v>EA</x:v>
      </x:c>
      <x:c r="B82" t="str">
        <x:v>SG</x:v>
      </x:c>
      <x:c r="C82" t="str">
        <x:v>Euro Area (EA)</x:v>
      </x:c>
      <x:c r="D82" t="str">
        <x:v>Singapore</x:v>
      </x:c>
      <x:c r="E82" s="10" t="n">
        <x:v>10799.891244</x:v>
      </x:c>
      <x:c r="F82" s="10" t="n">
        <x:v>10357.103849</x:v>
      </x:c>
      <x:c r="G82" s="10" t="n">
        <x:v>10917.76605</x:v>
      </x:c>
      <x:c r="H82" s="10" t="n">
        <x:v>12328.559129</x:v>
      </x:c>
      <x:c r="I82" s="10" t="n">
        <x:v>15749.797082</x:v>
      </x:c>
      <x:c r="J82" s="10" t="n">
        <x:v>16395.287076</x:v>
      </x:c>
      <x:c r="K82" s="10" t="n">
        <x:v>18711.876517</x:v>
      </x:c>
      <x:c r="L82" s="10" t="n">
        <x:v>21347.531899</x:v>
      </x:c>
      <x:c r="M82" s="10" t="n">
        <x:v>25255.582708</x:v>
      </x:c>
      <x:c r="N82" s="10" t="n">
        <x:v>21726.73679</x:v>
      </x:c>
      <x:c r="O82" s="10" t="n">
        <x:v>24725.083884</x:v>
      </x:c>
      <x:c r="P82" s="10" t="n">
        <x:v>27881.759307</x:v>
      </x:c>
      <x:c r="Q82" s="10" t="n">
        <x:v>29425.035048</x:v>
      </x:c>
      <x:c r="R82" s="10" t="n">
        <x:v>11851.705012</x:v>
      </x:c>
      <x:c r="S82" s="10" t="n">
        <x:v>10100.890927</x:v>
      </x:c>
      <x:c r="T82" s="10" t="n">
        <x:v>9984.613122</x:v>
      </x:c>
      <x:c r="U82" s="10" t="n">
        <x:v>11341.570146</x:v>
      </x:c>
      <x:c r="V82" s="10" t="n">
        <x:v>14241.113975</x:v>
      </x:c>
      <x:c r="W82" s="10" t="n">
        <x:v>15221.373356</x:v>
      </x:c>
      <x:c r="X82" s="10" t="n">
        <x:v>16549.451317</x:v>
      </x:c>
      <x:c r="Y82" s="10" t="n">
        <x:v>16946.401371</x:v>
      </x:c>
      <x:c r="Z82" s="10" t="n">
        <x:v>16673.971542</x:v>
      </x:c>
      <x:c r="AA82" s="10" t="n">
        <x:v>13617.289937</x:v>
      </x:c>
      <x:c r="AB82" s="10" t="n">
        <x:v>13937.90858</x:v>
      </x:c>
      <x:c r="AC82" s="10" t="n">
        <x:v>15877.170834</x:v>
      </x:c>
      <x:c r="AD82" s="10" t="n">
        <x:v>15797.134868</x:v>
      </x:c>
      <x:c r="AE82" s="10" t="n">
        <x:f>IF(A82=B82,0,AVERAGE(E82:Q82))</x:f>
        <x:v>18894.00081407692</x:v>
      </x:c>
      <x:c r="AF82" s="10" t="n">
        <x:f>IF(A82=B82,0,AVERAGE(R82:AD82))</x:f>
        <x:v>14010.814998999997</x:v>
      </x:c>
      <x:c r="AG82" s="10" t="n">
        <x:f>AE82+AF82</x:f>
        <x:v>32904.815813076915</x:v>
      </x:c>
    </x:row>
    <x:row r="83">
      <x:c r="A83" t="str">
        <x:v>EA</x:v>
      </x:c>
      <x:c r="B83" t="str">
        <x:v>TR</x:v>
      </x:c>
      <x:c r="C83" t="str">
        <x:v>Euro Area (EA)</x:v>
      </x:c>
      <x:c r="D83" t="str">
        <x:v>Türkiye, Republic of</x:v>
      </x:c>
      <x:c r="E83" s="10" t="n">
        <x:v>23576.800227</x:v>
      </x:c>
      <x:c r="F83" s="10" t="n">
        <x:v>16049.349523</x:v>
      </x:c>
      <x:c r="G83" s="10" t="n">
        <x:v>20577.328262</x:v>
      </x:c>
      <x:c r="H83" s="10" t="n">
        <x:v>28578.531868</x:v>
      </x:c>
      <x:c r="I83" s="10" t="n">
        <x:v>40405.631533</x:v>
      </x:c>
      <x:c r="J83" s="10" t="n">
        <x:v>43843.697852</x:v>
      </x:c>
      <x:c r="K83" s="10" t="n">
        <x:v>49435.803003</x:v>
      </x:c>
      <x:c r="L83" s="10" t="n">
        <x:v>57250.341939</x:v>
      </x:c>
      <x:c r="M83" s="10" t="n">
        <x:v>64139.923862</x:v>
      </x:c>
      <x:c r="N83" s="10" t="n">
        <x:v>49672.517724</x:v>
      </x:c>
      <x:c r="O83" s="10" t="n">
        <x:v>64250.145488</x:v>
      </x:c>
      <x:c r="P83" s="10" t="n">
        <x:v>79891.48442</x:v>
      </x:c>
      <x:c r="Q83" s="10" t="n">
        <x:v>76933.873271</x:v>
      </x:c>
      <x:c r="R83" s="10" t="n">
        <x:v>13661.573683</x:v>
      </x:c>
      <x:c r="S83" s="10" t="n">
        <x:v>15265.663206</x:v>
      </x:c>
      <x:c r="T83" s="10" t="n">
        <x:v>17108.321207</x:v>
      </x:c>
      <x:c r="U83" s="10" t="n">
        <x:v>22418.652552</x:v>
      </x:c>
      <x:c r="V83" s="10" t="n">
        <x:v>29447.311117</x:v>
      </x:c>
      <x:c r="W83" s="10" t="n">
        <x:v>32064.140018</x:v>
      </x:c>
      <x:c r="X83" s="10" t="n">
        <x:v>37278.073566</x:v>
      </x:c>
      <x:c r="Y83" s="10" t="n">
        <x:v>45084.352798</x:v>
      </x:c>
      <x:c r="Z83" s="10" t="n">
        <x:v>48675.402425</x:v>
      </x:c>
      <x:c r="AA83" s="10" t="n">
        <x:v>37470.841767</x:v>
      </x:c>
      <x:c r="AB83" s="10" t="n">
        <x:v>40529.274541</x:v>
      </x:c>
      <x:c r="AC83" s="10" t="n">
        <x:v>48091.058825</x:v>
      </x:c>
      <x:c r="AD83" s="10" t="n">
        <x:v>43100.546726</x:v>
      </x:c>
      <x:c r="AE83" s="10" t="n">
        <x:f>IF(A83=B83,0,AVERAGE(E83:Q83))</x:f>
        <x:v>47277.34069015384</x:v>
      </x:c>
      <x:c r="AF83" s="10" t="n">
        <x:f>IF(A83=B83,0,AVERAGE(R83:AD83))</x:f>
        <x:v>33091.93941776924</x:v>
      </x:c>
      <x:c r="AG83" s="10" t="n">
        <x:f>AE83+AF83</x:f>
        <x:v>80369.28010792308</x:v>
      </x:c>
    </x:row>
    <x:row r="84">
      <x:c r="A84" t="str">
        <x:v>EA</x:v>
      </x:c>
      <x:c r="B84" t="str">
        <x:v>US</x:v>
      </x:c>
      <x:c r="C84" t="str">
        <x:v>Euro Area (EA)</x:v>
      </x:c>
      <x:c r="D84" t="str">
        <x:v>United States</x:v>
      </x:c>
      <x:c r="E84" s="10" t="n">
        <x:v>159761.103702</x:v>
      </x:c>
      <x:c r="F84" s="10" t="n">
        <x:v>162481.036052</x:v>
      </x:c>
      <x:c r="G84" s="10" t="n">
        <x:v>175254.34031</x:v>
      </x:c>
      <x:c r="H84" s="10" t="n">
        <x:v>191219.162057</x:v>
      </x:c>
      <x:c r="I84" s="10" t="n">
        <x:v>219089.814381</x:v>
      </x:c>
      <x:c r="J84" s="10" t="n">
        <x:v>232484.484414</x:v>
      </x:c>
      <x:c r="K84" s="10" t="n">
        <x:v>253331.97669</x:v>
      </x:c>
      <x:c r="L84" s="10" t="n">
        <x:v>269526.402669</x:v>
      </x:c>
      <x:c r="M84" s="10" t="n">
        <x:v>278220.547638</x:v>
      </x:c>
      <x:c r="N84" s="10" t="n">
        <x:v>215078.903568</x:v>
      </x:c>
      <x:c r="O84" s="10" t="n">
        <x:v>242921.886578</x:v>
      </x:c>
      <x:c r="P84" s="10" t="n">
        <x:v>280583.933715</x:v>
      </x:c>
      <x:c r="Q84" s="10" t="n">
        <x:v>289439.54755</x:v>
      </x:c>
      <x:c r="R84" s="10" t="n">
        <x:v>132184.989137</x:v>
      </x:c>
      <x:c r="S84" s="10" t="n">
        <x:v>125628.054483</x:v>
      </x:c>
      <x:c r="T84" s="10" t="n">
        <x:v>120091.875333</x:v>
      </x:c>
      <x:c r="U84" s="10" t="n">
        <x:v>127313.226076</x:v>
      </x:c>
      <x:c r="V84" s="10" t="n">
        <x:v>142838.052021</x:v>
      </x:c>
      <x:c r="W84" s="10" t="n">
        <x:v>150235.453393</x:v>
      </x:c>
      <x:c r="X84" s="10" t="n">
        <x:v>159507.485016</x:v>
      </x:c>
      <x:c r="Y84" s="10" t="n">
        <x:v>182467.783813</x:v>
      </x:c>
      <x:c r="Z84" s="10" t="n">
        <x:v>204161.730063</x:v>
      </x:c>
      <x:c r="AA84" s="10" t="n">
        <x:v>164236.767969</x:v>
      </x:c>
      <x:c r="AB84" s="10" t="n">
        <x:v>163277.690118</x:v>
      </x:c>
      <x:c r="AC84" s="10" t="n">
        <x:v>186932.607492</x:v>
      </x:c>
      <x:c r="AD84" s="10" t="n">
        <x:v>183665.829394</x:v>
      </x:c>
      <x:c r="AE84" s="10" t="n">
        <x:f>IF(A84=B84,0,AVERAGE(E84:Q84))</x:f>
        <x:v>228414.85687107692</x:v>
      </x:c>
      <x:c r="AF84" s="10" t="n">
        <x:f>IF(A84=B84,0,AVERAGE(R84:AD84))</x:f>
        <x:v>157118.5803313846</x:v>
      </x:c>
      <x:c r="AG84" s="10" t="n">
        <x:f>AE84+AF84</x:f>
        <x:v>385533.43720246153</x:v>
      </x:c>
    </x:row>
    <x:row r="85">
      <x:c r="A85" t="str">
        <x:v>EA</x:v>
      </x:c>
      <x:c r="B85" t="str">
        <x:v>ZA</x:v>
      </x:c>
      <x:c r="C85" t="str">
        <x:v>Euro Area (EA)</x:v>
      </x:c>
      <x:c r="D85" t="str">
        <x:v>South Africa</x:v>
      </x:c>
      <x:c r="E85" s="10" t="n">
        <x:v>8227.593186</x:v>
      </x:c>
      <x:c r="F85" s="10" t="n">
        <x:v>8615.455601</x:v>
      </x:c>
      <x:c r="G85" s="10" t="n">
        <x:v>9013.927724</x:v>
      </x:c>
      <x:c r="H85" s="10" t="n">
        <x:v>11756.821146</x:v>
      </x:c>
      <x:c r="I85" s="10" t="n">
        <x:v>15437.770168</x:v>
      </x:c>
      <x:c r="J85" s="10" t="n">
        <x:v>17286.222132</x:v>
      </x:c>
      <x:c r="K85" s="10" t="n">
        <x:v>19239.128153</x:v>
      </x:c>
      <x:c r="L85" s="10" t="n">
        <x:v>21536.553093</x:v>
      </x:c>
      <x:c r="M85" s="10" t="n">
        <x:v>22356.734182</x:v>
      </x:c>
      <x:c r="N85" s="10" t="n">
        <x:v>17082.014016</x:v>
      </x:c>
      <x:c r="O85" s="10" t="n">
        <x:v>21137.492757</x:v>
      </x:c>
      <x:c r="P85" s="10" t="n">
        <x:v>26286.1324</x:v>
      </x:c>
      <x:c r="Q85" s="10" t="n">
        <x:v>25085.216087</x:v>
      </x:c>
      <x:c r="R85" s="10" t="n">
        <x:v>8850.166772</x:v>
      </x:c>
      <x:c r="S85" s="10" t="n">
        <x:v>8746.584114</x:v>
      </x:c>
      <x:c r="T85" s="10" t="n">
        <x:v>8923.270667</x:v>
      </x:c>
      <x:c r="U85" s="10" t="n">
        <x:v>9782.622278</x:v>
      </x:c>
      <x:c r="V85" s="10" t="n">
        <x:v>12726.137781</x:v>
      </x:c>
      <x:c r="W85" s="10" t="n">
        <x:v>14044.337954</x:v>
      </x:c>
      <x:c r="X85" s="10" t="n">
        <x:v>15301.910141</x:v>
      </x:c>
      <x:c r="Y85" s="10" t="n">
        <x:v>18849.887809</x:v>
      </x:c>
      <x:c r="Z85" s="10" t="n">
        <x:v>22263.428591</x:v>
      </x:c>
      <x:c r="AA85" s="10" t="n">
        <x:v>14219.4196</x:v>
      </x:c>
      <x:c r="AB85" s="10" t="n">
        <x:v>16164.147139</x:v>
      </x:c>
      <x:c r="AC85" s="10" t="n">
        <x:v>18604.876673</x:v>
      </x:c>
      <x:c r="AD85" s="10" t="n">
        <x:v>15193.687704</x:v>
      </x:c>
      <x:c r="AE85" s="10" t="n">
        <x:f>IF(A85=B85,0,AVERAGE(E85:Q85))</x:f>
        <x:v>17158.54312653846</x:v>
      </x:c>
      <x:c r="AF85" s="10" t="n">
        <x:f>IF(A85=B85,0,AVERAGE(R85:AD85))</x:f>
        <x:v>14128.498247923078</x:v>
      </x:c>
      <x:c r="AG85" s="10" t="n">
        <x:f>AE85+AF85</x:f>
        <x:v>31287.04137446154</x:v>
      </x:c>
    </x:row>
    <x:row r="86">
      <x:c r="A86" t="str">
        <x:v>UK</x:v>
      </x:c>
      <x:c r="B86" t="str">
        <x:v>AU</x:v>
      </x:c>
      <x:c r="C86" t="str">
        <x:v>United Kingdom</x:v>
      </x:c>
      <x:c r="D86" t="str">
        <x:v>Australia</x:v>
      </x:c>
      <x:c r="E86" s="10" t="n">
        <x:v>4056.596131</x:v>
      </x:c>
      <x:c r="F86" s="10" t="n">
        <x:v>3344.677531</x:v>
      </x:c>
      <x:c r="G86" s="10" t="n">
        <x:v>3194.084937</x:v>
      </x:c>
      <x:c r="H86" s="10" t="n">
        <x:v>3755.198514</x:v>
      </x:c>
      <x:c r="I86" s="10" t="n">
        <x:v>4406.551869</x:v>
      </x:c>
      <x:c r="J86" s="10" t="n">
        <x:v>4730.4122</x:v>
      </x:c>
      <x:c r="K86" s="10" t="n">
        <x:v>5039.2151</x:v>
      </x:c>
      <x:c r="L86" s="10" t="n">
        <x:v>6589.6837</x:v>
      </x:c>
      <x:c r="M86" s="10" t="n">
        <x:v>7581.694</x:v>
      </x:c>
      <x:c r="N86" s="10" t="n">
        <x:v>4432.7282</x:v>
      </x:c>
      <x:c r="O86" s="10" t="n">
        <x:v>4977.8149</x:v>
      </x:c>
      <x:c r="P86" s="10" t="n">
        <x:v>6613.8718</x:v>
      </x:c>
      <x:c r="Q86" s="10" t="n">
        <x:v>6725.1577</x:v>
      </x:c>
      <x:c r="R86" s="10" t="n">
        <x:v>2390.617853</x:v>
      </x:c>
      <x:c r="S86" s="10" t="n">
        <x:v>2646.228556</x:v>
      </x:c>
      <x:c r="T86" s="10" t="n">
        <x:v>2665.488582</x:v>
      </x:c>
      <x:c r="U86" s="10" t="n">
        <x:v>2984.891159</x:v>
      </x:c>
      <x:c r="V86" s="10" t="n">
        <x:v>3473.047831</x:v>
      </x:c>
      <x:c r="W86" s="10" t="n">
        <x:v>4101.7909</x:v>
      </x:c>
      <x:c r="X86" s="10" t="n">
        <x:v>6100.4656</x:v>
      </x:c>
      <x:c r="Y86" s="10" t="n">
        <x:v>6672.9696</x:v>
      </x:c>
      <x:c r="Z86" s="10" t="n">
        <x:v>8005.539</x:v>
      </x:c>
      <x:c r="AA86" s="10" t="n">
        <x:v>5645.4992</x:v>
      </x:c>
      <x:c r="AB86" s="10" t="n">
        <x:v>6567.3481</x:v>
      </x:c>
      <x:c r="AC86" s="10" t="n">
        <x:v>7910.3257</x:v>
      </x:c>
      <x:c r="AD86" s="10" t="n">
        <x:v>7259.3086</x:v>
      </x:c>
      <x:c r="AE86" s="10" t="n">
        <x:f>IF(A86=B86,0,AVERAGE(E86:Q86))</x:f>
        <x:v>5034.437429384615</x:v>
      </x:c>
      <x:c r="AF86" s="10" t="n">
        <x:f>IF(A86=B86,0,AVERAGE(R86:AD86))</x:f>
        <x:v>5109.501590846154</x:v>
      </x:c>
      <x:c r="AG86" s="10" t="n">
        <x:f>AE86+AF86</x:f>
        <x:v>10143.93902023077</x:v>
      </x:c>
    </x:row>
    <x:row r="87">
      <x:c r="A87" t="str">
        <x:v>UK</x:v>
      </x:c>
      <x:c r="B87" t="str">
        <x:v>BR</x:v>
      </x:c>
      <x:c r="C87" t="str">
        <x:v>United Kingdom</x:v>
      </x:c>
      <x:c r="D87" t="str">
        <x:v>Brazil</x:v>
      </x:c>
      <x:c r="E87" s="10" t="n">
        <x:v>1169.89009</x:v>
      </x:c>
      <x:c r="F87" s="10" t="n">
        <x:v>1171.433202</x:v>
      </x:c>
      <x:c r="G87" s="10" t="n">
        <x:v>1331.30752</x:v>
      </x:c>
      <x:c r="H87" s="10" t="n">
        <x:v>1355.719186</x:v>
      </x:c>
      <x:c r="I87" s="10" t="n">
        <x:v>1451.696512</x:v>
      </x:c>
      <x:c r="J87" s="10" t="n">
        <x:v>1440.7013</x:v>
      </x:c>
      <x:c r="K87" s="10" t="n">
        <x:v>1635.7226</x:v>
      </x:c>
      <x:c r="L87" s="10" t="n">
        <x:v>2093.1384</x:v>
      </x:c>
      <x:c r="M87" s="10" t="n">
        <x:v>2863.9398</x:v>
      </x:c>
      <x:c r="N87" s="10" t="n">
        <x:v>2616.252</x:v>
      </x:c>
      <x:c r="O87" s="10" t="n">
        <x:v>3190.3504</x:v>
      </x:c>
      <x:c r="P87" s="10" t="n">
        <x:v>3640.1313</x:v>
      </x:c>
      <x:c r="Q87" s="10" t="n">
        <x:v>3860.2179</x:v>
      </x:c>
      <x:c r="R87" s="10" t="n">
        <x:v>1755.659233</x:v>
      </x:c>
      <x:c r="S87" s="10" t="n">
        <x:v>1910.940443</x:v>
      </x:c>
      <x:c r="T87" s="10" t="n">
        <x:v>2126.344079</x:v>
      </x:c>
      <x:c r="U87" s="10" t="n">
        <x:v>2477.10362</x:v>
      </x:c>
      <x:c r="V87" s="10" t="n">
        <x:v>2893.47571</x:v>
      </x:c>
      <x:c r="W87" s="10" t="n">
        <x:v>3076.406</x:v>
      </x:c>
      <x:c r="X87" s="10" t="n">
        <x:v>3514.6351</x:v>
      </x:c>
      <x:c r="Y87" s="10" t="n">
        <x:v>4190.7773</x:v>
      </x:c>
      <x:c r="Z87" s="10" t="n">
        <x:v>4899.5773</x:v>
      </x:c>
      <x:c r="AA87" s="10" t="n">
        <x:v>4280.2989</x:v>
      </x:c>
      <x:c r="AB87" s="10" t="n">
        <x:v>5227.8699</x:v>
      </x:c>
      <x:c r="AC87" s="10" t="n">
        <x:v>5407.4182</x:v>
      </x:c>
      <x:c r="AD87" s="10" t="n">
        <x:v>4812.3401</x:v>
      </x:c>
      <x:c r="AE87" s="10" t="n">
        <x:f>IF(A87=B87,0,AVERAGE(E87:Q87))</x:f>
        <x:v>2140.0384776923074</x:v>
      </x:c>
      <x:c r="AF87" s="10" t="n">
        <x:f>IF(A87=B87,0,AVERAGE(R87:AD87))</x:f>
        <x:v>3582.5266065384612</x:v>
      </x:c>
      <x:c r="AG87" s="10" t="n">
        <x:f>AE87+AF87</x:f>
        <x:v>5722.565084230769</x:v>
      </x:c>
    </x:row>
    <x:row r="88">
      <x:c r="A88" t="str">
        <x:v>UK</x:v>
      </x:c>
      <x:c r="B88" t="str">
        <x:v>CA</x:v>
      </x:c>
      <x:c r="C88" t="str">
        <x:v>United Kingdom</x:v>
      </x:c>
      <x:c r="D88" t="str">
        <x:v>Canada</x:v>
      </x:c>
      <x:c r="E88" s="10" t="n">
        <x:v>5302.208399</x:v>
      </x:c>
      <x:c r="F88" s="10" t="n">
        <x:v>4646.840488</x:v>
      </x:c>
      <x:c r="G88" s="10" t="n">
        <x:v>4705.042712</x:v>
      </x:c>
      <x:c r="H88" s="10" t="n">
        <x:v>5338.878149</x:v>
      </x:c>
      <x:c r="I88" s="10" t="n">
        <x:v>6109.302716</x:v>
      </x:c>
      <x:c r="J88" s="10" t="n">
        <x:v>5196.4685</x:v>
      </x:c>
      <x:c r="K88" s="10" t="n">
        <x:v>6224.268</x:v>
      </x:c>
      <x:c r="L88" s="10" t="n">
        <x:v>5851.1898</x:v>
      </x:c>
      <x:c r="M88" s="10" t="n">
        <x:v>5849.7956</x:v>
      </x:c>
      <x:c r="N88" s="10" t="n">
        <x:v>5376.4895</x:v>
      </x:c>
      <x:c r="O88" s="10" t="n">
        <x:v>6780.9821</x:v>
      </x:c>
      <x:c r="P88" s="10" t="n">
        <x:v>8163.0019</x:v>
      </x:c>
      <x:c r="Q88" s="10" t="n">
        <x:v>6822.0403</x:v>
      </x:c>
      <x:c r="R88" s="10" t="n">
        <x:v>6243.347539</x:v>
      </x:c>
      <x:c r="S88" s="10" t="n">
        <x:v>5455.033995</x:v>
      </x:c>
      <x:c r="T88" s="10" t="n">
        <x:v>5543.929154</x:v>
      </x:c>
      <x:c r="U88" s="10" t="n">
        <x:v>6205.009217</x:v>
      </x:c>
      <x:c r="V88" s="10" t="n">
        <x:v>7826.582469</x:v>
      </x:c>
      <x:c r="W88" s="10" t="n">
        <x:v>7676.9016</x:v>
      </x:c>
      <x:c r="X88" s="10" t="n">
        <x:v>9804.7509</x:v>
      </x:c>
      <x:c r="Y88" s="10" t="n">
        <x:v>12456.5893</x:v>
      </x:c>
      <x:c r="Z88" s="10" t="n">
        <x:v>12923.8217</x:v>
      </x:c>
      <x:c r="AA88" s="10" t="n">
        <x:v>10157.7755</x:v>
      </x:c>
      <x:c r="AB88" s="10" t="n">
        <x:v>13402.7369</x:v>
      </x:c>
      <x:c r="AC88" s="10" t="n">
        <x:v>19381.4835</x:v>
      </x:c>
      <x:c r="AD88" s="10" t="n">
        <x:v>18114.7035</x:v>
      </x:c>
      <x:c r="AE88" s="10" t="n">
        <x:f>IF(A88=B88,0,AVERAGE(E88:Q88))</x:f>
        <x:v>5874.346781846152</x:v>
      </x:c>
      <x:c r="AF88" s="10" t="n">
        <x:f>IF(A88=B88,0,AVERAGE(R88:AD88))</x:f>
        <x:v>10399.435790307693</x:v>
      </x:c>
      <x:c r="AG88" s="10" t="n">
        <x:f>AE88+AF88</x:f>
        <x:v>16273.782572153845</x:v>
      </x:c>
    </x:row>
    <x:row r="89">
      <x:c r="A89" t="str">
        <x:v>UK</x:v>
      </x:c>
      <x:c r="B89" t="str">
        <x:v>CH</x:v>
      </x:c>
      <x:c r="C89" t="str">
        <x:v>United Kingdom</x:v>
      </x:c>
      <x:c r="D89" t="str">
        <x:v>Switzerland</x:v>
      </x:c>
      <x:c r="E89" s="10" t="n">
        <x:v>4762.817382</x:v>
      </x:c>
      <x:c r="F89" s="10" t="n">
        <x:v>5262.070819</x:v>
      </x:c>
      <x:c r="G89" s="10" t="n">
        <x:v>4963.0264</x:v>
      </x:c>
      <x:c r="H89" s="10" t="n">
        <x:v>4745.227908</x:v>
      </x:c>
      <x:c r="I89" s="10" t="n">
        <x:v>5415.851871</x:v>
      </x:c>
      <x:c r="J89" s="10" t="n">
        <x:v>14234.0264</x:v>
      </x:c>
      <x:c r="K89" s="10" t="n">
        <x:v>8172.6845</x:v>
      </x:c>
      <x:c r="L89" s="10" t="n">
        <x:v>8045.8255</x:v>
      </x:c>
      <x:c r="M89" s="10" t="n">
        <x:v>11846.1303</x:v>
      </x:c>
      <x:c r="N89" s="10" t="n">
        <x:v>6829.5297</x:v>
      </x:c>
      <x:c r="O89" s="10" t="n">
        <x:v>15670.0508</x:v>
      </x:c>
      <x:c r="P89" s="10" t="n">
        <x:v>36718.3173</x:v>
      </x:c>
      <x:c r="Q89" s="10" t="n">
        <x:v>13648.4623</x:v>
      </x:c>
      <x:c r="R89" s="10" t="n">
        <x:v>8799.821199</x:v>
      </x:c>
      <x:c r="S89" s="10" t="n">
        <x:v>6984.819927</x:v>
      </x:c>
      <x:c r="T89" s="10" t="n">
        <x:v>7433.067627</x:v>
      </x:c>
      <x:c r="U89" s="10" t="n">
        <x:v>6446.506294</x:v>
      </x:c>
      <x:c r="V89" s="10" t="n">
        <x:v>6574.16305</x:v>
      </x:c>
      <x:c r="W89" s="10" t="n">
        <x:v>5190.8215</x:v>
      </x:c>
      <x:c r="X89" s="10" t="n">
        <x:v>5834.5905</x:v>
      </x:c>
      <x:c r="Y89" s="10" t="n">
        <x:v>6815.418</x:v>
      </x:c>
      <x:c r="Z89" s="10" t="n">
        <x:v>11052.6118</x:v>
      </x:c>
      <x:c r="AA89" s="10" t="n">
        <x:v>15659.7904</x:v>
      </x:c>
      <x:c r="AB89" s="10" t="n">
        <x:v>10470.954</x:v>
      </x:c>
      <x:c r="AC89" s="10" t="n">
        <x:v>10486.3246</x:v>
      </x:c>
      <x:c r="AD89" s="10" t="n">
        <x:v>25287.46</x:v>
      </x:c>
      <x:c r="AE89" s="10" t="n">
        <x:f>IF(A89=B89,0,AVERAGE(E89:Q89))</x:f>
        <x:v>10793.386244615383</x:v>
      </x:c>
      <x:c r="AF89" s="10" t="n">
        <x:f>IF(A89=B89,0,AVERAGE(R89:AD89))</x:f>
        <x:v>9772.026838230768</x:v>
      </x:c>
      <x:c r="AG89" s="10" t="n">
        <x:f>AE89+AF89</x:f>
        <x:v>20565.41308284615</x:v>
      </x:c>
    </x:row>
    <x:row r="90">
      <x:c r="A90" t="str">
        <x:v>UK</x:v>
      </x:c>
      <x:c r="B90" t="str">
        <x:v>CN</x:v>
      </x:c>
      <x:c r="C90" t="str">
        <x:v>United Kingdom</x:v>
      </x:c>
      <x:c r="D90" t="str">
        <x:v>China, People's Republic of</x:v>
      </x:c>
      <x:c r="E90" s="10" t="n">
        <x:v>2215.68405</x:v>
      </x:c>
      <x:c r="F90" s="10" t="n">
        <x:v>2473.929692</x:v>
      </x:c>
      <x:c r="G90" s="10" t="n">
        <x:v>2250.519354</x:v>
      </x:c>
      <x:c r="H90" s="10" t="n">
        <x:v>3157.371851</x:v>
      </x:c>
      <x:c r="I90" s="10" t="n">
        <x:v>4355.247599</x:v>
      </x:c>
      <x:c r="J90" s="10" t="n">
        <x:v>4934.0126</x:v>
      </x:c>
      <x:c r="K90" s="10" t="n">
        <x:v>5927.3782</x:v>
      </x:c>
      <x:c r="L90" s="10" t="n">
        <x:v>7355.5065</x:v>
      </x:c>
      <x:c r="M90" s="10" t="n">
        <x:v>8781.6133</x:v>
      </x:c>
      <x:c r="N90" s="10" t="n">
        <x:v>7840.6825</x:v>
      </x:c>
      <x:c r="O90" s="10" t="n">
        <x:v>11013.0993</x:v>
      </x:c>
      <x:c r="P90" s="10" t="n">
        <x:v>13674.4791</x:v>
      </x:c>
      <x:c r="Q90" s="10" t="n">
        <x:v>15381.5838</x:v>
      </x:c>
      <x:c r="R90" s="10" t="n">
        <x:v>7533.618067</x:v>
      </x:c>
      <x:c r="S90" s="10" t="n">
        <x:v>8591.561653</x:v>
      </x:c>
      <x:c r="T90" s="10" t="n">
        <x:v>10513.557175</x:v>
      </x:c>
      <x:c r="U90" s="10" t="n">
        <x:v>14020.219555</x:v>
      </x:c>
      <x:c r="V90" s="10" t="n">
        <x:v>19469.226055</x:v>
      </x:c>
      <x:c r="W90" s="10" t="n">
        <x:v>30502.3464</x:v>
      </x:c>
      <x:c r="X90" s="10" t="n">
        <x:v>36144.2152</x:v>
      </x:c>
      <x:c r="Y90" s="10" t="n">
        <x:v>45604.4885</x:v>
      </x:c>
      <x:c r="Z90" s="10" t="n">
        <x:v>47548.3141</x:v>
      </x:c>
      <x:c r="AA90" s="10" t="n">
        <x:v>42664.852</x:v>
      </x:c>
      <x:c r="AB90" s="10" t="n">
        <x:v>50221.4789</x:v>
      </x:c>
      <x:c r="AC90" s="10" t="n">
        <x:v>53855.874</x:v>
      </x:c>
      <x:c r="AD90" s="10" t="n">
        <x:v>53744.1088</x:v>
      </x:c>
      <x:c r="AE90" s="10" t="n">
        <x:f>IF(A90=B90,0,AVERAGE(E90:Q90))</x:f>
        <x:v>6873.931372769231</x:v>
      </x:c>
      <x:c r="AF90" s="10" t="n">
        <x:f>IF(A90=B90,0,AVERAGE(R90:AD90))</x:f>
        <x:v>32339.52772346154</x:v>
      </x:c>
      <x:c r="AG90" s="10" t="n">
        <x:f>AE90+AF90</x:f>
        <x:v>39213.45909623077</x:v>
      </x:c>
    </x:row>
    <x:row r="91">
      <x:c r="A91" t="str">
        <x:v>UK</x:v>
      </x:c>
      <x:c r="B91" t="str">
        <x:v>EA</x:v>
      </x:c>
      <x:c r="C91" t="str">
        <x:v>United Kingdom</x:v>
      </x:c>
      <x:c r="D91" t="str">
        <x:v>Euro Area (EA)</x:v>
      </x:c>
      <x:c r="E91" s="10" t="n">
        <x:v>152907.83984</x:v>
      </x:c>
      <x:c r="F91" s="10" t="n">
        <x:v>139651.469055</x:v>
      </x:c>
      <x:c r="G91" s="10" t="n">
        <x:v>146826.848116</x:v>
      </x:c>
      <x:c r="H91" s="10" t="n">
        <x:v>157661.844151</x:v>
      </x:c>
      <x:c r="I91" s="10" t="n">
        <x:v>171136.264693</x:v>
      </x:c>
      <x:c r="J91" s="10" t="n">
        <x:v>194615.305187</x:v>
      </x:c>
      <x:c r="K91" s="10" t="n">
        <x:v>246010.624926</x:v>
      </x:c>
      <x:c r="L91" s="10" t="n">
        <x:v>223408.095123</x:v>
      </x:c>
      <x:c r="M91" s="10" t="n">
        <x:v>230507.1354</x:v>
      </x:c>
      <x:c r="N91" s="10" t="n">
        <x:v>170988.4163</x:v>
      </x:c>
      <x:c r="O91" s="10" t="n">
        <x:v>189449.5817</x:v>
      </x:c>
      <x:c r="P91" s="10" t="n">
        <x:v>219133.0349</x:v>
      </x:c>
      <x:c r="Q91" s="10" t="n">
        <x:v>205571.0114</x:v>
      </x:c>
      <x:c r="R91" s="10" t="n">
        <x:v>157820.055865</x:v>
      </x:c>
      <x:c r="S91" s="10" t="n">
        <x:v>144938.397168</x:v>
      </x:c>
      <x:c r="T91" s="10" t="n">
        <x:v>159831.161909</x:v>
      </x:c>
      <x:c r="U91" s="10" t="n">
        <x:v>189308.899207</x:v>
      </x:c>
      <x:c r="V91" s="10" t="n">
        <x:v>213346.286629</x:v>
      </x:c>
      <x:c r="W91" s="10" t="n">
        <x:v>236034.168206</x:v>
      </x:c>
      <x:c r="X91" s="10" t="n">
        <x:v>261224.708584</x:v>
      </x:c>
      <x:c r="Y91" s="10" t="n">
        <x:v>294988.683988</x:v>
      </x:c>
      <x:c r="Z91" s="10" t="n">
        <x:v>288803.5185</x:v>
      </x:c>
      <x:c r="AA91" s="10" t="n">
        <x:v>219059.2285</x:v>
      </x:c>
      <x:c r="AB91" s="10" t="n">
        <x:v>243599.9135</x:v>
      </x:c>
      <x:c r="AC91" s="10" t="n">
        <x:v>273199.6669</x:v>
      </x:c>
      <x:c r="AD91" s="10" t="n">
        <x:v>274319.9642</x:v>
      </x:c>
      <x:c r="AE91" s="10" t="n">
        <x:f>IF(A91=B91,0,AVERAGE(E91:Q91))</x:f>
        <x:v>188297.49775315385</x:v>
      </x:c>
      <x:c r="AF91" s="10" t="n">
        <x:f>IF(A91=B91,0,AVERAGE(R91:AD91))</x:f>
        <x:v>227421.12716584612</x:v>
      </x:c>
      <x:c r="AG91" s="10" t="n">
        <x:f>AE91+AF91</x:f>
        <x:v>415718.62491899997</x:v>
      </x:c>
    </x:row>
    <x:row r="92">
      <x:c r="A92" t="str">
        <x:v>UK</x:v>
      </x:c>
      <x:c r="B92" t="str">
        <x:v>UK</x:v>
      </x:c>
      <x:c r="C92" t="str">
        <x:v>United Kingdom</x:v>
      </x:c>
      <x:c r="D92" t="str">
        <x:v>United Kingdom</x:v>
      </x:c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 t="n">
        <x:f>IF(A92=B92,0,AVERAGE(E92:Q92))</x:f>
        <x:v>0</x:v>
      </x:c>
      <x:c r="AF92" s="10" t="n">
        <x:f>IF(A92=B92,0,AVERAGE(R92:AD92))</x:f>
        <x:v>0</x:v>
      </x:c>
      <x:c r="AG92" s="10" t="n">
        <x:f>AE92+AF92</x:f>
        <x:v>0</x:v>
      </x:c>
    </x:row>
    <x:row r="93">
      <x:c r="A93" t="str">
        <x:v>UK</x:v>
      </x:c>
      <x:c r="B93" t="str">
        <x:v>JP</x:v>
      </x:c>
      <x:c r="C93" t="str">
        <x:v>United Kingdom</x:v>
      </x:c>
      <x:c r="D93" t="str">
        <x:v>Japan</x:v>
      </x:c>
      <x:c r="E93" s="10" t="n">
        <x:v>5552.459199</x:v>
      </x:c>
      <x:c r="F93" s="10" t="n">
        <x:v>5341.663105</x:v>
      </x:c>
      <x:c r="G93" s="10" t="n">
        <x:v>5407.807392</x:v>
      </x:c>
      <x:c r="H93" s="10" t="n">
        <x:v>6114.542931</x:v>
      </x:c>
      <x:c r="I93" s="10" t="n">
        <x:v>6966.003645</x:v>
      </x:c>
      <x:c r="J93" s="10" t="n">
        <x:v>6830.392</x:v>
      </x:c>
      <x:c r="K93" s="10" t="n">
        <x:v>7285.0534</x:v>
      </x:c>
      <x:c r="L93" s="10" t="n">
        <x:v>7475.4193</x:v>
      </x:c>
      <x:c r="M93" s="10" t="n">
        <x:v>6871.8447</x:v>
      </x:c>
      <x:c r="N93" s="10" t="n">
        <x:v>5090.3814</x:v>
      </x:c>
      <x:c r="O93" s="10" t="n">
        <x:v>6393.3189</x:v>
      </x:c>
      <x:c r="P93" s="10" t="n">
        <x:v>6960.8547</x:v>
      </x:c>
      <x:c r="Q93" s="10" t="n">
        <x:v>7085.5376</x:v>
      </x:c>
      <x:c r="R93" s="10" t="n">
        <x:v>15906.71809</x:v>
      </x:c>
      <x:c r="S93" s="10" t="n">
        <x:v>13501.73337</x:v>
      </x:c>
      <x:c r="T93" s="10" t="n">
        <x:v>12734.346674</x:v>
      </x:c>
      <x:c r="U93" s="10" t="n">
        <x:v>13482.525587</x:v>
      </x:c>
      <x:c r="V93" s="10" t="n">
        <x:v>15064.222129</x:v>
      </x:c>
      <x:c r="W93" s="10" t="n">
        <x:v>16586.9027</x:v>
      </x:c>
      <x:c r="X93" s="10" t="n">
        <x:v>16289.1665</x:v>
      </x:c>
      <x:c r="Y93" s="10" t="n">
        <x:v>16078.9722</x:v>
      </x:c>
      <x:c r="Z93" s="10" t="n">
        <x:v>15808.5135</x:v>
      </x:c>
      <x:c r="AA93" s="10" t="n">
        <x:v>11270.5008</x:v>
      </x:c>
      <x:c r="AB93" s="10" t="n">
        <x:v>12394.3798</x:v>
      </x:c>
      <x:c r="AC93" s="10" t="n">
        <x:v>14975.2034</x:v>
      </x:c>
      <x:c r="AD93" s="10" t="n">
        <x:v>12779.5</x:v>
      </x:c>
      <x:c r="AE93" s="10" t="n">
        <x:f>IF(A93=B93,0,AVERAGE(E93:Q93))</x:f>
        <x:v>6413.482943999999</x:v>
      </x:c>
      <x:c r="AF93" s="10" t="n">
        <x:f>IF(A93=B93,0,AVERAGE(R93:AD93))</x:f>
        <x:v>14374.821903846152</x:v>
      </x:c>
      <x:c r="AG93" s="10" t="n">
        <x:f>AE93+AF93</x:f>
        <x:v>20788.30484784615</x:v>
      </x:c>
    </x:row>
    <x:row r="94">
      <x:c r="A94" t="str">
        <x:v>UK</x:v>
      </x:c>
      <x:c r="B94" t="str">
        <x:v>KR</x:v>
      </x:c>
      <x:c r="C94" t="str">
        <x:v>United Kingdom</x:v>
      </x:c>
      <x:c r="D94" t="str">
        <x:v>Korea, Republic of</x:v>
      </x:c>
      <x:c r="E94" s="10" t="n">
        <x:v>2050.648949</x:v>
      </x:c>
      <x:c r="F94" s="10" t="n">
        <x:v>1832.956474</x:v>
      </x:c>
      <x:c r="G94" s="10" t="n">
        <x:v>2226.297112</x:v>
      </x:c>
      <x:c r="H94" s="10" t="n">
        <x:v>2388.766633</x:v>
      </x:c>
      <x:c r="I94" s="10" t="n">
        <x:v>2662.400053</x:v>
      </x:c>
      <x:c r="J94" s="10" t="n">
        <x:v>2998.9734</x:v>
      </x:c>
      <x:c r="K94" s="10" t="n">
        <x:v>3050.4888</x:v>
      </x:c>
      <x:c r="L94" s="10" t="n">
        <x:v>3509.7602</x:v>
      </x:c>
      <x:c r="M94" s="10" t="n">
        <x:v>4359.1721</x:v>
      </x:c>
      <x:c r="N94" s="10" t="n">
        <x:v>3098.2377</x:v>
      </x:c>
      <x:c r="O94" s="10" t="n">
        <x:v>3304.5171</x:v>
      </x:c>
      <x:c r="P94" s="10" t="n">
        <x:v>3908.6943</x:v>
      </x:c>
      <x:c r="Q94" s="10" t="n">
        <x:v>7087.9896</x:v>
      </x:c>
      <x:c r="R94" s="10" t="n">
        <x:v>5307.387249</x:v>
      </x:c>
      <x:c r="S94" s="10" t="n">
        <x:v>4099.129432</x:v>
      </x:c>
      <x:c r="T94" s="10" t="n">
        <x:v>4307.330317</x:v>
      </x:c>
      <x:c r="U94" s="10" t="n">
        <x:v>4283.678976</x:v>
      </x:c>
      <x:c r="V94" s="10" t="n">
        <x:v>5729.51279</x:v>
      </x:c>
      <x:c r="W94" s="10" t="n">
        <x:v>5280.3275</x:v>
      </x:c>
      <x:c r="X94" s="10" t="n">
        <x:v>5557.7357</x:v>
      </x:c>
      <x:c r="Y94" s="10" t="n">
        <x:v>5578.4789</x:v>
      </x:c>
      <x:c r="Z94" s="10" t="n">
        <x:v>5895.0964</x:v>
      </x:c>
      <x:c r="AA94" s="10" t="n">
        <x:v>3900.0232</x:v>
      </x:c>
      <x:c r="AB94" s="10" t="n">
        <x:v>3602.9004</x:v>
      </x:c>
      <x:c r="AC94" s="10" t="n">
        <x:v>3750.9627</x:v>
      </x:c>
      <x:c r="AD94" s="10" t="n">
        <x:v>4490.7791</x:v>
      </x:c>
      <x:c r="AE94" s="10" t="n">
        <x:f>IF(A94=B94,0,AVERAGE(E94:Q94))</x:f>
        <x:v>3267.607878538462</x:v>
      </x:c>
      <x:c r="AF94" s="10" t="n">
        <x:f>IF(A94=B94,0,AVERAGE(R94:AD94))</x:f>
        <x:v>4752.5648203076935</x:v>
      </x:c>
      <x:c r="AG94" s="10" t="n">
        <x:f>AE94+AF94</x:f>
        <x:v>8020.172698846156</x:v>
      </x:c>
    </x:row>
    <x:row r="95">
      <x:c r="A95" t="str">
        <x:v>UK</x:v>
      </x:c>
      <x:c r="B95" t="str">
        <x:v>NO</x:v>
      </x:c>
      <x:c r="C95" t="str">
        <x:v>United Kingdom</x:v>
      </x:c>
      <x:c r="D95" t="str">
        <x:v>Norway</x:v>
      </x:c>
      <x:c r="E95" s="10" t="n">
        <x:v>3144.265635</x:v>
      </x:c>
      <x:c r="F95" s="10" t="n">
        <x:v>2731.694603</x:v>
      </x:c>
      <x:c r="G95" s="10" t="n">
        <x:v>2725.54896</x:v>
      </x:c>
      <x:c r="H95" s="10" t="n">
        <x:v>3140.265647</x:v>
      </x:c>
      <x:c r="I95" s="10" t="n">
        <x:v>3583.768556</x:v>
      </x:c>
      <x:c r="J95" s="10" t="n">
        <x:v>3971.4938</x:v>
      </x:c>
      <x:c r="K95" s="10" t="n">
        <x:v>3809.117</x:v>
      </x:c>
      <x:c r="L95" s="10" t="n">
        <x:v>5345.1905</x:v>
      </x:c>
      <x:c r="M95" s="10" t="n">
        <x:v>4950.4752</x:v>
      </x:c>
      <x:c r="N95" s="10" t="n">
        <x:v>4074.1856</x:v>
      </x:c>
      <x:c r="O95" s="10" t="n">
        <x:v>4375.5986</x:v>
      </x:c>
      <x:c r="P95" s="10" t="n">
        <x:v>5019.8811</x:v>
      </x:c>
      <x:c r="Q95" s="10" t="n">
        <x:v>5300.5749</x:v>
      </x:c>
      <x:c r="R95" s="10" t="n">
        <x:v>8862.186976</x:v>
      </x:c>
      <x:c r="S95" s="10" t="n">
        <x:v>8459.657587</x:v>
      </x:c>
      <x:c r="T95" s="10" t="n">
        <x:v>8331.957043</x:v>
      </x:c>
      <x:c r="U95" s="10" t="n">
        <x:v>10773.474384</x:v>
      </x:c>
      <x:c r="V95" s="10" t="n">
        <x:v>15827.832677</x:v>
      </x:c>
      <x:c r="W95" s="10" t="n">
        <x:v>21919.0661</x:v>
      </x:c>
      <x:c r="X95" s="10" t="n">
        <x:v>26868.1119</x:v>
      </x:c>
      <x:c r="Y95" s="10" t="n">
        <x:v>28931.5189</x:v>
      </x:c>
      <x:c r="Z95" s="10" t="n">
        <x:v>37983.9844</x:v>
      </x:c>
      <x:c r="AA95" s="10" t="n">
        <x:v>23213.6605</x:v>
      </x:c>
      <x:c r="AB95" s="10" t="n">
        <x:v>29768.0341</x:v>
      </x:c>
      <x:c r="AC95" s="10" t="n">
        <x:v>40244.4546</x:v>
      </x:c>
      <x:c r="AD95" s="10" t="n">
        <x:v>37347.84</x:v>
      </x:c>
      <x:c r="AE95" s="10" t="n">
        <x:f>IF(A95=B95,0,AVERAGE(E95:Q95))</x:f>
        <x:v>4013.2353923846144</x:v>
      </x:c>
      <x:c r="AF95" s="10" t="n">
        <x:f>IF(A95=B95,0,AVERAGE(R95:AD95))</x:f>
        <x:v>22963.98301284615</x:v>
      </x:c>
      <x:c r="AG95" s="10" t="n">
        <x:f>AE95+AF95</x:f>
        <x:v>26977.218405230764</x:v>
      </x:c>
    </x:row>
    <x:row r="96">
      <x:c r="A96" t="str">
        <x:v>UK</x:v>
      </x:c>
      <x:c r="B96" t="str">
        <x:v>SG</x:v>
      </x:c>
      <x:c r="C96" t="str">
        <x:v>United Kingdom</x:v>
      </x:c>
      <x:c r="D96" t="str">
        <x:v>Singapore</x:v>
      </x:c>
      <x:c r="E96" s="10" t="n">
        <x:v>2463.817678</x:v>
      </x:c>
      <x:c r="F96" s="10" t="n">
        <x:v>2307.284874</x:v>
      </x:c>
      <x:c r="G96" s="10" t="n">
        <x:v>2184.817483</x:v>
      </x:c>
      <x:c r="H96" s="10" t="n">
        <x:v>2598.148616</x:v>
      </x:c>
      <x:c r="I96" s="10" t="n">
        <x:v>3148.258063</x:v>
      </x:c>
      <x:c r="J96" s="10" t="n">
        <x:v>3599.3396</x:v>
      </x:c>
      <x:c r="K96" s="10" t="n">
        <x:v>4070.9298</x:v>
      </x:c>
      <x:c r="L96" s="10" t="n">
        <x:v>4739.036</x:v>
      </x:c>
      <x:c r="M96" s="10" t="n">
        <x:v>5117.5725</x:v>
      </x:c>
      <x:c r="N96" s="10" t="n">
        <x:v>4269.799</x:v>
      </x:c>
      <x:c r="O96" s="10" t="n">
        <x:v>4944.652</x:v>
      </x:c>
      <x:c r="P96" s="10" t="n">
        <x:v>5705.7328</x:v>
      </x:c>
      <x:c r="Q96" s="10" t="n">
        <x:v>6684.578</x:v>
      </x:c>
      <x:c r="R96" s="10" t="n">
        <x:v>3742.982414</x:v>
      </x:c>
      <x:c r="S96" s="10" t="n">
        <x:v>3093.978469</x:v>
      </x:c>
      <x:c r="T96" s="10" t="n">
        <x:v>3054.128793</x:v>
      </x:c>
      <x:c r="U96" s="10" t="n">
        <x:v>4460.299141</x:v>
      </x:c>
      <x:c r="V96" s="10" t="n">
        <x:v>6332.726341</x:v>
      </x:c>
      <x:c r="W96" s="10" t="n">
        <x:v>6557.7068</x:v>
      </x:c>
      <x:c r="X96" s="10" t="n">
        <x:v>6421.0874</x:v>
      </x:c>
      <x:c r="Y96" s="10" t="n">
        <x:v>7245.0783</x:v>
      </x:c>
      <x:c r="Z96" s="10" t="n">
        <x:v>5547.6425</x:v>
      </x:c>
      <x:c r="AA96" s="10" t="n">
        <x:v>4042.9125</x:v>
      </x:c>
      <x:c r="AB96" s="10" t="n">
        <x:v>4738.0816</x:v>
      </x:c>
      <x:c r="AC96" s="10" t="n">
        <x:v>4976.2694</x:v>
      </x:c>
      <x:c r="AD96" s="10" t="n">
        <x:v>4765.2853</x:v>
      </x:c>
      <x:c r="AE96" s="10" t="n">
        <x:f>IF(A96=B96,0,AVERAGE(E96:Q96))</x:f>
        <x:v>3987.2281856923078</x:v>
      </x:c>
      <x:c r="AF96" s="10" t="n">
        <x:f>IF(A96=B96,0,AVERAGE(R96:AD96))</x:f>
        <x:v>4998.321458307692</x:v>
      </x:c>
      <x:c r="AG96" s="10" t="n">
        <x:f>AE96+AF96</x:f>
        <x:v>8985.549644</x:v>
      </x:c>
    </x:row>
    <x:row r="97">
      <x:c r="A97" t="str">
        <x:v>UK</x:v>
      </x:c>
      <x:c r="B97" t="str">
        <x:v>TR</x:v>
      </x:c>
      <x:c r="C97" t="str">
        <x:v>United Kingdom</x:v>
      </x:c>
      <x:c r="D97" t="str">
        <x:v>Türkiye, Republic of</x:v>
      </x:c>
      <x:c r="E97" s="10" t="n">
        <x:v>2788.200321</x:v>
      </x:c>
      <x:c r="F97" s="10" t="n">
        <x:v>1735.616581</x:v>
      </x:c>
      <x:c r="G97" s="10" t="n">
        <x:v>2075.154041</x:v>
      </x:c>
      <x:c r="H97" s="10" t="n">
        <x:v>2797.68861</x:v>
      </x:c>
      <x:c r="I97" s="10" t="n">
        <x:v>3618.722995</x:v>
      </x:c>
      <x:c r="J97" s="10" t="n">
        <x:v>3871.4118</x:v>
      </x:c>
      <x:c r="K97" s="10" t="n">
        <x:v>4476.5221</x:v>
      </x:c>
      <x:c r="L97" s="10" t="n">
        <x:v>4649.0464</x:v>
      </x:c>
      <x:c r="M97" s="10" t="n">
        <x:v>4568.6492</x:v>
      </x:c>
      <x:c r="N97" s="10" t="n">
        <x:v>3481.8335</x:v>
      </x:c>
      <x:c r="O97" s="10" t="n">
        <x:v>4778.3697</x:v>
      </x:c>
      <x:c r="P97" s="10" t="n">
        <x:v>6189.3562</x:v>
      </x:c>
      <x:c r="Q97" s="10" t="n">
        <x:v>5356.635</x:v>
      </x:c>
      <x:c r="R97" s="10" t="n">
        <x:v>2293.787559</x:v>
      </x:c>
      <x:c r="S97" s="10" t="n">
        <x:v>2555.666944</x:v>
      </x:c>
      <x:c r="T97" s="10" t="n">
        <x:v>3486.870124</x:v>
      </x:c>
      <x:c r="U97" s="10" t="n">
        <x:v>4471.002485</x:v>
      </x:c>
      <x:c r="V97" s="10" t="n">
        <x:v>6173.677331</x:v>
      </x:c>
      <x:c r="W97" s="10" t="n">
        <x:v>6520.9394</x:v>
      </x:c>
      <x:c r="X97" s="10" t="n">
        <x:v>7520.1547</x:v>
      </x:c>
      <x:c r="Y97" s="10" t="n">
        <x:v>9188.0281</x:v>
      </x:c>
      <x:c r="Z97" s="10" t="n">
        <x:v>8253.1624</x:v>
      </x:c>
      <x:c r="AA97" s="10" t="n">
        <x:v>6174.3975</x:v>
      </x:c>
      <x:c r="AB97" s="10" t="n">
        <x:v>7151.8326</x:v>
      </x:c>
      <x:c r="AC97" s="10" t="n">
        <x:v>8531.4372</x:v>
      </x:c>
      <x:c r="AD97" s="10" t="n">
        <x:v>8900.2003</x:v>
      </x:c>
      <x:c r="AE97" s="10" t="n">
        <x:f>IF(A97=B97,0,AVERAGE(E97:Q97))</x:f>
        <x:v>3875.938957538462</x:v>
      </x:c>
      <x:c r="AF97" s="10" t="n">
        <x:f>IF(A97=B97,0,AVERAGE(R97:AD97))</x:f>
        <x:v>6247.781280230769</x:v>
      </x:c>
      <x:c r="AG97" s="10" t="n">
        <x:f>AE97+AF97</x:f>
        <x:v>10123.72023776923</x:v>
      </x:c>
    </x:row>
    <x:row r="98">
      <x:c r="A98" t="str">
        <x:v>UK</x:v>
      </x:c>
      <x:c r="B98" t="str">
        <x:v>US</x:v>
      </x:c>
      <x:c r="C98" t="str">
        <x:v>United Kingdom</x:v>
      </x:c>
      <x:c r="D98" t="str">
        <x:v>United States</x:v>
      </x:c>
      <x:c r="E98" s="10" t="n">
        <x:v>44751.398884</x:v>
      </x:c>
      <x:c r="F98" s="10" t="n">
        <x:v>42794.250232</x:v>
      </x:c>
      <x:c r="G98" s="10" t="n">
        <x:v>42853.7654</x:v>
      </x:c>
      <x:c r="H98" s="10" t="n">
        <x:v>48166.937556</x:v>
      </x:c>
      <x:c r="I98" s="10" t="n">
        <x:v>52196.601093</x:v>
      </x:c>
      <x:c r="J98" s="10" t="n">
        <x:v>52756.572204</x:v>
      </x:c>
      <x:c r="K98" s="10" t="n">
        <x:v>55299.537701</x:v>
      </x:c>
      <x:c r="L98" s="10" t="n">
        <x:v>59544.196351</x:v>
      </x:c>
      <x:c r="M98" s="10" t="n">
        <x:v>60046.1152</x:v>
      </x:c>
      <x:c r="N98" s="10" t="n">
        <x:v>48649.8249</x:v>
      </x:c>
      <x:c r="O98" s="10" t="n">
        <x:v>53374.1655</x:v>
      </x:c>
      <x:c r="P98" s="10" t="n">
        <x:v>57994.2289</x:v>
      </x:c>
      <x:c r="Q98" s="10" t="n">
        <x:v>58315.9785</x:v>
      </x:c>
      <x:c r="R98" s="10" t="n">
        <x:v>44996.488401</x:v>
      </x:c>
      <x:c r="S98" s="10" t="n">
        <x:v>45055.820365</x:v>
      </x:c>
      <x:c r="T98" s="10" t="n">
        <x:v>39899.315478</x:v>
      </x:c>
      <x:c r="U98" s="10" t="n">
        <x:v>39233.6559</x:v>
      </x:c>
      <x:c r="V98" s="10" t="n">
        <x:v>42136.541816</x:v>
      </x:c>
      <x:c r="W98" s="10" t="n">
        <x:v>36923.481418</x:v>
      </x:c>
      <x:c r="X98" s="10" t="n">
        <x:v>42728.621305</x:v>
      </x:c>
      <x:c r="Y98" s="10" t="n">
        <x:v>47532.154595</x:v>
      </x:c>
      <x:c r="Z98" s="10" t="n">
        <x:v>48781.8997</x:v>
      </x:c>
      <x:c r="AA98" s="10" t="n">
        <x:v>40138.3979</x:v>
      </x:c>
      <x:c r="AB98" s="10" t="n">
        <x:v>43214.716</x:v>
      </x:c>
      <x:c r="AC98" s="10" t="n">
        <x:v>54573.9202</x:v>
      </x:c>
      <x:c r="AD98" s="10" t="n">
        <x:v>54372.3446</x:v>
      </x:c>
      <x:c r="AE98" s="10" t="n">
        <x:f>IF(A98=B98,0,AVERAGE(E98:Q98))</x:f>
        <x:v>52057.19787853845</x:v>
      </x:c>
      <x:c r="AF98" s="10" t="n">
        <x:f>IF(A98=B98,0,AVERAGE(R98:AD98))</x:f>
        <x:v>44583.64289830769</x:v>
      </x:c>
      <x:c r="AG98" s="10" t="n">
        <x:f>AE98+AF98</x:f>
        <x:v>96640.84077684613</x:v>
      </x:c>
    </x:row>
    <x:row r="99">
      <x:c r="A99" t="str">
        <x:v>UK</x:v>
      </x:c>
      <x:c r="B99" t="str">
        <x:v>ZA</x:v>
      </x:c>
      <x:c r="C99" t="str">
        <x:v>United Kingdom</x:v>
      </x:c>
      <x:c r="D99" t="str">
        <x:v>South Africa</x:v>
      </x:c>
      <x:c r="E99" s="10" t="n">
        <x:v>2125.072669</x:v>
      </x:c>
      <x:c r="F99" s="10" t="n">
        <x:v>2228.449713</x:v>
      </x:c>
      <x:c r="G99" s="10" t="n">
        <x:v>2415.934073</x:v>
      </x:c>
      <x:c r="H99" s="10" t="n">
        <x:v>2909.393691</x:v>
      </x:c>
      <x:c r="I99" s="10" t="n">
        <x:v>3451.968939</x:v>
      </x:c>
      <x:c r="J99" s="10" t="n">
        <x:v>3573.433</x:v>
      </x:c>
      <x:c r="K99" s="10" t="n">
        <x:v>3906.3042</x:v>
      </x:c>
      <x:c r="L99" s="10" t="n">
        <x:v>4136.9797</x:v>
      </x:c>
      <x:c r="M99" s="10" t="n">
        <x:v>5173.2813</x:v>
      </x:c>
      <x:c r="N99" s="10" t="n">
        <x:v>2944.9873</x:v>
      </x:c>
      <x:c r="O99" s="10" t="n">
        <x:v>3924.9312</x:v>
      </x:c>
      <x:c r="P99" s="10" t="n">
        <x:v>5817.306</x:v>
      </x:c>
      <x:c r="Q99" s="10" t="n">
        <x:v>3912.0494</x:v>
      </x:c>
      <x:c r="R99" s="10" t="n">
        <x:v>3970.720887</x:v>
      </x:c>
      <x:c r="S99" s="10" t="n">
        <x:v>4240.546697</x:v>
      </x:c>
      <x:c r="T99" s="10" t="n">
        <x:v>4207.588621</x:v>
      </x:c>
      <x:c r="U99" s="10" t="n">
        <x:v>4918.311298</x:v>
      </x:c>
      <x:c r="V99" s="10" t="n">
        <x:v>6119.008775</x:v>
      </x:c>
      <x:c r="W99" s="10" t="n">
        <x:v>6731.9234</x:v>
      </x:c>
      <x:c r="X99" s="10" t="n">
        <x:v>8981.5504</x:v>
      </x:c>
      <x:c r="Y99" s="10" t="n">
        <x:v>10126.5581</x:v>
      </x:c>
      <x:c r="Z99" s="10" t="n">
        <x:v>12664.2484</x:v>
      </x:c>
      <x:c r="AA99" s="10" t="n">
        <x:v>11399.4328</x:v>
      </x:c>
      <x:c r="AB99" s="10" t="n">
        <x:v>9200.8023</x:v>
      </x:c>
      <x:c r="AC99" s="10" t="n">
        <x:v>9823.8158</x:v>
      </x:c>
      <x:c r="AD99" s="10" t="n">
        <x:v>9673.577</x:v>
      </x:c>
      <x:c r="AE99" s="10" t="n">
        <x:f>IF(A99=B99,0,AVERAGE(E99:Q99))</x:f>
        <x:v>3578.4685526923076</x:v>
      </x:c>
      <x:c r="AF99" s="10" t="n">
        <x:f>IF(A99=B99,0,AVERAGE(R99:AD99))</x:f>
        <x:v>7850.621882923077</x:v>
      </x:c>
      <x:c r="AG99" s="10" t="n">
        <x:f>AE99+AF99</x:f>
        <x:v>11429.090435615384</x:v>
      </x:c>
    </x:row>
    <x:row r="100">
      <x:c r="A100" t="str">
        <x:v>JP</x:v>
      </x:c>
      <x:c r="B100" t="str">
        <x:v>AU</x:v>
      </x:c>
      <x:c r="C100" t="str">
        <x:v>Japan</x:v>
      </x:c>
      <x:c r="D100" t="str">
        <x:v>Australia</x:v>
      </x:c>
      <x:c r="E100" s="10" t="n">
        <x:v>8580.33405</x:v>
      </x:c>
      <x:c r="F100" s="10" t="n">
        <x:v>7692.520242</x:v>
      </x:c>
      <x:c r="G100" s="10" t="n">
        <x:v>8318.120006</x:v>
      </x:c>
      <x:c r="H100" s="10" t="n">
        <x:v>9966.421029</x:v>
      </x:c>
      <x:c r="I100" s="10" t="n">
        <x:v>11817.867323</x:v>
      </x:c>
      <x:c r="J100" s="10" t="n">
        <x:v>12512.608947</x:v>
      </x:c>
      <x:c r="K100" s="10" t="n">
        <x:v>12579.178858</x:v>
      </x:c>
      <x:c r="L100" s="10" t="n">
        <x:v>14223.250927</x:v>
      </x:c>
      <x:c r="M100" s="10" t="n">
        <x:v>17290.859812</x:v>
      </x:c>
      <x:c r="N100" s="10" t="n">
        <x:v>12186.152389</x:v>
      </x:c>
      <x:c r="O100" s="10" t="n">
        <x:v>15868.877435</x:v>
      </x:c>
      <x:c r="P100" s="10" t="n">
        <x:v>17879.793542</x:v>
      </x:c>
      <x:c r="Q100" s="10" t="n">
        <x:v>18418.582102</x:v>
      </x:c>
      <x:c r="R100" s="10" t="n">
        <x:v>14774.328311</x:v>
      </x:c>
      <x:c r="S100" s="10" t="n">
        <x:v>14385.120879</x:v>
      </x:c>
      <x:c r="T100" s="10" t="n">
        <x:v>13986.131837</x:v>
      </x:c>
      <x:c r="U100" s="10" t="n">
        <x:v>15005.420095</x:v>
      </x:c>
      <x:c r="V100" s="10" t="n">
        <x:v>19403.838314</x:v>
      </x:c>
      <x:c r="W100" s="10" t="n">
        <x:v>24406.433546</x:v>
      </x:c>
      <x:c r="X100" s="10" t="n">
        <x:v>27775.821257</x:v>
      </x:c>
      <x:c r="Y100" s="10" t="n">
        <x:v>31059.90098</x:v>
      </x:c>
      <x:c r="Z100" s="10" t="n">
        <x:v>47683.435393</x:v>
      </x:c>
      <x:c r="AA100" s="10" t="n">
        <x:v>34737.146341</x:v>
      </x:c>
      <x:c r="AB100" s="10" t="n">
        <x:v>45187.953553</x:v>
      </x:c>
      <x:c r="AC100" s="10" t="n">
        <x:v>56733.355319</x:v>
      </x:c>
      <x:c r="AD100" s="10" t="n">
        <x:v>56508.930537</x:v>
      </x:c>
      <x:c r="AE100" s="10" t="n">
        <x:f>IF(A100=B100,0,AVERAGE(E100:Q100))</x:f>
        <x:v>12871.889743230768</x:v>
      </x:c>
      <x:c r="AF100" s="10" t="n">
        <x:f>IF(A100=B100,0,AVERAGE(R100:AD100))</x:f>
        <x:v>30895.985874</x:v>
      </x:c>
      <x:c r="AG100" s="10" t="n">
        <x:f>AE100+AF100</x:f>
        <x:v>43767.87561723077</x:v>
      </x:c>
    </x:row>
    <x:row r="101">
      <x:c r="A101" t="str">
        <x:v>JP</x:v>
      </x:c>
      <x:c r="B101" t="str">
        <x:v>BR</x:v>
      </x:c>
      <x:c r="C101" t="str">
        <x:v>Japan</x:v>
      </x:c>
      <x:c r="D101" t="str">
        <x:v>Brazil</x:v>
      </x:c>
      <x:c r="E101" s="10" t="n">
        <x:v>2519.137287</x:v>
      </x:c>
      <x:c r="F101" s="10" t="n">
        <x:v>2476.26358</x:v>
      </x:c>
      <x:c r="G101" s="10" t="n">
        <x:v>1815.100647</x:v>
      </x:c>
      <x:c r="H101" s="10" t="n">
        <x:v>1874.004019</x:v>
      </x:c>
      <x:c r="I101" s="10" t="n">
        <x:v>2346.787472</x:v>
      </x:c>
      <x:c r="J101" s="10" t="n">
        <x:v>2713.374191</x:v>
      </x:c>
      <x:c r="K101" s="10" t="n">
        <x:v>3046.95361</x:v>
      </x:c>
      <x:c r="L101" s="10" t="n">
        <x:v>3997.117538</x:v>
      </x:c>
      <x:c r="M101" s="10" t="n">
        <x:v>5926.611232</x:v>
      </x:c>
      <x:c r="N101" s="10" t="n">
        <x:v>4236.07823</x:v>
      </x:c>
      <x:c r="O101" s="10" t="n">
        <x:v>6194.613648</x:v>
      </x:c>
      <x:c r="P101" s="10" t="n">
        <x:v>6207.72983</x:v>
      </x:c>
      <x:c r="Q101" s="10" t="n">
        <x:v>5930.118985</x:v>
      </x:c>
      <x:c r="R101" s="10" t="n">
        <x:v>3000.50347</x:v>
      </x:c>
      <x:c r="S101" s="10" t="n">
        <x:v>2541.553507</x:v>
      </x:c>
      <x:c r="T101" s="10" t="n">
        <x:v>2667.531843</x:v>
      </x:c>
      <x:c r="U101" s="10" t="n">
        <x:v>2883.674166</x:v>
      </x:c>
      <x:c r="V101" s="10" t="n">
        <x:v>3649.983024</x:v>
      </x:c>
      <x:c r="W101" s="10" t="n">
        <x:v>4404.317636</x:v>
      </x:c>
      <x:c r="X101" s="10" t="n">
        <x:v>5048.373076</x:v>
      </x:c>
      <x:c r="Y101" s="10" t="n">
        <x:v>6018.155226</x:v>
      </x:c>
      <x:c r="Z101" s="10" t="n">
        <x:v>9157.394056</x:v>
      </x:c>
      <x:c r="AA101" s="10" t="n">
        <x:v>6364.921586</x:v>
      </x:c>
      <x:c r="AB101" s="10" t="n">
        <x:v>9888.123223</x:v>
      </x:c>
      <x:c r="AC101" s="10" t="n">
        <x:v>12696.756689</x:v>
      </x:c>
      <x:c r="AD101" s="10" t="n">
        <x:v>11943.27835</x:v>
      </x:c>
      <x:c r="AE101" s="10" t="n">
        <x:f>IF(A101=B101,0,AVERAGE(E101:Q101))</x:f>
        <x:v>3791.0684822307694</x:v>
      </x:c>
      <x:c r="AF101" s="10" t="n">
        <x:f>IF(A101=B101,0,AVERAGE(R101:AD101))</x:f>
        <x:v>6174.197373230769</x:v>
      </x:c>
      <x:c r="AG101" s="10" t="n">
        <x:f>AE101+AF101</x:f>
        <x:v>9965.265855461537</x:v>
      </x:c>
    </x:row>
    <x:row r="102">
      <x:c r="A102" t="str">
        <x:v>JP</x:v>
      </x:c>
      <x:c r="B102" t="str">
        <x:v>CA</x:v>
      </x:c>
      <x:c r="C102" t="str">
        <x:v>Japan</x:v>
      </x:c>
      <x:c r="D102" t="str">
        <x:v>Canada</x:v>
      </x:c>
      <x:c r="E102" s="10" t="n">
        <x:v>7473.825805</x:v>
      </x:c>
      <x:c r="F102" s="10" t="n">
        <x:v>6563.227877</x:v>
      </x:c>
      <x:c r="G102" s="10" t="n">
        <x:v>7325.705451</x:v>
      </x:c>
      <x:c r="H102" s="10" t="n">
        <x:v>7370.141695</x:v>
      </x:c>
      <x:c r="I102" s="10" t="n">
        <x:v>7646.656463</x:v>
      </x:c>
      <x:c r="J102" s="10" t="n">
        <x:v>8909.166818</x:v>
      </x:c>
      <x:c r="K102" s="10" t="n">
        <x:v>9957.981442</x:v>
      </x:c>
      <x:c r="L102" s="10" t="n">
        <x:v>10538.09823</x:v>
      </x:c>
      <x:c r="M102" s="10" t="n">
        <x:v>10784.187018</x:v>
      </x:c>
      <x:c r="N102" s="10" t="n">
        <x:v>7745.510771</x:v>
      </x:c>
      <x:c r="O102" s="10" t="n">
        <x:v>9314.194503</x:v>
      </x:c>
      <x:c r="P102" s="10" t="n">
        <x:v>8917.450684</x:v>
      </x:c>
      <x:c r="Q102" s="10" t="n">
        <x:v>10264.973851</x:v>
      </x:c>
      <x:c r="R102" s="10" t="n">
        <x:v>8688.860091</x:v>
      </x:c>
      <x:c r="S102" s="10" t="n">
        <x:v>7752.434017</x:v>
      </x:c>
      <x:c r="T102" s="10" t="n">
        <x:v>7153.337407</x:v>
      </x:c>
      <x:c r="U102" s="10" t="n">
        <x:v>7510.947619</x:v>
      </x:c>
      <x:c r="V102" s="10" t="n">
        <x:v>8384.368364</x:v>
      </x:c>
      <x:c r="W102" s="10" t="n">
        <x:v>8904.545664</x:v>
      </x:c>
      <x:c r="X102" s="10" t="n">
        <x:v>9565.269184</x:v>
      </x:c>
      <x:c r="Y102" s="10" t="n">
        <x:v>9922.143054</x:v>
      </x:c>
      <x:c r="Z102" s="10" t="n">
        <x:v>12785.936613</x:v>
      </x:c>
      <x:c r="AA102" s="10" t="n">
        <x:v>9171.70446</x:v>
      </x:c>
      <x:c r="AB102" s="10" t="n">
        <x:v>10946.400107</x:v>
      </x:c>
      <x:c r="AC102" s="10" t="n">
        <x:v>12944.513558</x:v>
      </x:c>
      <x:c r="AD102" s="10" t="n">
        <x:v>12697.798311</x:v>
      </x:c>
      <x:c r="AE102" s="10" t="n">
        <x:f>IF(A102=B102,0,AVERAGE(E102:Q102))</x:f>
        <x:v>8677.778508307692</x:v>
      </x:c>
      <x:c r="AF102" s="10" t="n">
        <x:f>IF(A102=B102,0,AVERAGE(R102:AD102))</x:f>
        <x:v>9725.250649923077</x:v>
      </x:c>
      <x:c r="AG102" s="10" t="n">
        <x:f>AE102+AF102</x:f>
        <x:v>18403.02915823077</x:v>
      </x:c>
    </x:row>
    <x:row r="103">
      <x:c r="A103" t="str">
        <x:v>JP</x:v>
      </x:c>
      <x:c r="B103" t="str">
        <x:v>CH</x:v>
      </x:c>
      <x:c r="C103" t="str">
        <x:v>Japan</x:v>
      </x:c>
      <x:c r="D103" t="str">
        <x:v>Switzerland</x:v>
      </x:c>
      <x:c r="E103" s="10" t="n">
        <x:v>2094.124465</x:v>
      </x:c>
      <x:c r="F103" s="10" t="n">
        <x:v>1965.797123</x:v>
      </x:c>
      <x:c r="G103" s="10" t="n">
        <x:v>1608.707357</x:v>
      </x:c>
      <x:c r="H103" s="10" t="n">
        <x:v>1957.03387</x:v>
      </x:c>
      <x:c r="I103" s="10" t="n">
        <x:v>2189.761319</x:v>
      </x:c>
      <x:c r="J103" s="10" t="n">
        <x:v>2169.60869</x:v>
      </x:c>
      <x:c r="K103" s="10" t="n">
        <x:v>2418.286224</x:v>
      </x:c>
      <x:c r="L103" s="10" t="n">
        <x:v>3023.11148</x:v>
      </x:c>
      <x:c r="M103" s="10" t="n">
        <x:v>4348.361078</x:v>
      </x:c>
      <x:c r="N103" s="10" t="n">
        <x:v>6274.401161</x:v>
      </x:c>
      <x:c r="O103" s="10" t="n">
        <x:v>7798.396713</x:v>
      </x:c>
      <x:c r="P103" s="10" t="n">
        <x:v>9220.915307</x:v>
      </x:c>
      <x:c r="Q103" s="10" t="n">
        <x:v>4375.609206</x:v>
      </x:c>
      <x:c r="R103" s="10" t="n">
        <x:v>3281.697211</x:v>
      </x:c>
      <x:c r="S103" s="10" t="n">
        <x:v>3282.749306</x:v>
      </x:c>
      <x:c r="T103" s="10" t="n">
        <x:v>3301.765439</x:v>
      </x:c>
      <x:c r="U103" s="10" t="n">
        <x:v>3874.804827</x:v>
      </x:c>
      <x:c r="V103" s="10" t="n">
        <x:v>4812.942951</x:v>
      </x:c>
      <x:c r="W103" s="10" t="n">
        <x:v>5035.992366</x:v>
      </x:c>
      <x:c r="X103" s="10" t="n">
        <x:v>5077.901519</x:v>
      </x:c>
      <x:c r="Y103" s="10" t="n">
        <x:v>5218.132099</x:v>
      </x:c>
      <x:c r="Z103" s="10" t="n">
        <x:v>6453.929257</x:v>
      </x:c>
      <x:c r="AA103" s="10" t="n">
        <x:v>6266.781989</x:v>
      </x:c>
      <x:c r="AB103" s="10" t="n">
        <x:v>6789.816638</x:v>
      </x:c>
      <x:c r="AC103" s="10" t="n">
        <x:v>7836.852374</x:v>
      </x:c>
      <x:c r="AD103" s="10" t="n">
        <x:v>8224.594265</x:v>
      </x:c>
      <x:c r="AE103" s="10" t="n">
        <x:f>IF(A103=B103,0,AVERAGE(E103:Q103))</x:f>
        <x:v>3803.393384076923</x:v>
      </x:c>
      <x:c r="AF103" s="10" t="n">
        <x:f>IF(A103=B103,0,AVERAGE(R103:AD103))</x:f>
        <x:v>5342.9200185384625</x:v>
      </x:c>
      <x:c r="AG103" s="10" t="n">
        <x:f>AE103+AF103</x:f>
        <x:v>9146.313402615386</x:v>
      </x:c>
    </x:row>
    <x:row r="104">
      <x:c r="A104" t="str">
        <x:v>JP</x:v>
      </x:c>
      <x:c r="B104" t="str">
        <x:v>CN</x:v>
      </x:c>
      <x:c r="C104" t="str">
        <x:v>Japan</x:v>
      </x:c>
      <x:c r="D104" t="str">
        <x:v>China, People's Republic of</x:v>
      </x:c>
      <x:c r="E104" s="10" t="n">
        <x:v>30356.160347</x:v>
      </x:c>
      <x:c r="F104" s="10" t="n">
        <x:v>30948.150554</x:v>
      </x:c>
      <x:c r="G104" s="10" t="n">
        <x:v>39957.568173</x:v>
      </x:c>
      <x:c r="H104" s="10" t="n">
        <x:v>57479.79841</x:v>
      </x:c>
      <x:c r="I104" s="10" t="n">
        <x:v>73917.15015</x:v>
      </x:c>
      <x:c r="J104" s="10" t="n">
        <x:v>80004.727445</x:v>
      </x:c>
      <x:c r="K104" s="10" t="n">
        <x:v>92789.06415</x:v>
      </x:c>
      <x:c r="L104" s="10" t="n">
        <x:v>109296.524815</x:v>
      </x:c>
      <x:c r="M104" s="10" t="n">
        <x:v>124968.771699</x:v>
      </x:c>
      <x:c r="N104" s="10" t="n">
        <x:v>109632.143837</x:v>
      </x:c>
      <x:c r="O104" s="10" t="n">
        <x:v>149626.126383</x:v>
      </x:c>
      <x:c r="P104" s="10" t="n">
        <x:v>161818.222434</x:v>
      </x:c>
      <x:c r="Q104" s="10" t="n">
        <x:v>144202.595856</x:v>
      </x:c>
      <x:c r="R104" s="10" t="n">
        <x:v>55155.856656</x:v>
      </x:c>
      <x:c r="S104" s="10" t="n">
        <x:v>57780.150706</x:v>
      </x:c>
      <x:c r="T104" s="10" t="n">
        <x:v>61791.759134</x:v>
      </x:c>
      <x:c r="U104" s="10" t="n">
        <x:v>75559.207934</x:v>
      </x:c>
      <x:c r="V104" s="10" t="n">
        <x:v>94335.027228</x:v>
      </x:c>
      <x:c r="W104" s="10" t="n">
        <x:v>108439.083643</x:v>
      </x:c>
      <x:c r="X104" s="10" t="n">
        <x:v>118443.847357</x:v>
      </x:c>
      <x:c r="Y104" s="10" t="n">
        <x:v>127760.393079</x:v>
      </x:c>
      <x:c r="Z104" s="10" t="n">
        <x:v>143678.256648</x:v>
      </x:c>
      <x:c r="AA104" s="10" t="n">
        <x:v>122536.210889</x:v>
      </x:c>
      <x:c r="AB104" s="10" t="n">
        <x:v>153368.907095</x:v>
      </x:c>
      <x:c r="AC104" s="10" t="n">
        <x:v>183902.610305</x:v>
      </x:c>
      <x:c r="AD104" s="10" t="n">
        <x:v>188495.402216</x:v>
      </x:c>
      <x:c r="AE104" s="10" t="n">
        <x:f>IF(A104=B104,0,AVERAGE(E104:Q104))</x:f>
        <x:v>92692.07725023075</x:v>
      </x:c>
      <x:c r="AF104" s="10" t="n">
        <x:f>IF(A104=B104,0,AVERAGE(R104:AD104))</x:f>
        <x:v>114711.28560692308</x:v>
      </x:c>
      <x:c r="AG104" s="10" t="n">
        <x:f>AE104+AF104</x:f>
        <x:v>207403.3628571538</x:v>
      </x:c>
    </x:row>
    <x:row r="105">
      <x:c r="A105" t="str">
        <x:v>JP</x:v>
      </x:c>
      <x:c r="B105" t="str">
        <x:v>EA</x:v>
      </x:c>
      <x:c r="C105" t="str">
        <x:v>Japan</x:v>
      </x:c>
      <x:c r="D105" t="str">
        <x:v>Euro Area (EA)</x:v>
      </x:c>
      <x:c r="E105" s="10" t="n">
        <x:v>61351.54504</x:v>
      </x:c>
      <x:c r="F105" s="10" t="n">
        <x:v>51197.961339</x:v>
      </x:c>
      <x:c r="G105" s="10" t="n">
        <x:v>48238.891049</x:v>
      </x:c>
      <x:c r="H105" s="10" t="n">
        <x:v>57690.468251</x:v>
      </x:c>
      <x:c r="I105" s="10" t="n">
        <x:v>67969.956817</x:v>
      </x:c>
      <x:c r="J105" s="10" t="n">
        <x:v>64588.343231</x:v>
      </x:c>
      <x:c r="K105" s="10" t="n">
        <x:v>71139.972343</x:v>
      </x:c>
      <x:c r="L105" s="10" t="n">
        <x:v>79686.271174</x:v>
      </x:c>
      <x:c r="M105" s="10" t="n">
        <x:v>82954.235454</x:v>
      </x:c>
      <x:c r="N105" s="10" t="n">
        <x:v>53684.750568</x:v>
      </x:c>
      <x:c r="O105" s="10" t="n">
        <x:v>64201.908809</x:v>
      </x:c>
      <x:c r="P105" s="10" t="n">
        <x:v>70528.080757</x:v>
      </x:c>
      <x:c r="Q105" s="10" t="n">
        <x:v>60927.367474</x:v>
      </x:c>
      <x:c r="R105" s="10" t="n">
        <x:v>35572.777354</x:v>
      </x:c>
      <x:c r="S105" s="10" t="n">
        <x:v>34568.21156</x:v>
      </x:c>
      <x:c r="T105" s="10" t="n">
        <x:v>34563.346509</x:v>
      </x:c>
      <x:c r="U105" s="10" t="n">
        <x:v>39106.540033</x:v>
      </x:c>
      <x:c r="V105" s="10" t="n">
        <x:v>45407.46082</x:v>
      </x:c>
      <x:c r="W105" s="10" t="n">
        <x:v>46365.090559</x:v>
      </x:c>
      <x:c r="X105" s="10" t="n">
        <x:v>47494.63539</x:v>
      </x:c>
      <x:c r="Y105" s="10" t="n">
        <x:v>51619.911501</x:v>
      </x:c>
      <x:c r="Z105" s="10" t="n">
        <x:v>56609.03712</x:v>
      </x:c>
      <x:c r="AA105" s="10" t="n">
        <x:v>47932.858757</x:v>
      </x:c>
      <x:c r="AB105" s="10" t="n">
        <x:v>53522.814784</x:v>
      </x:c>
      <x:c r="AC105" s="10" t="n">
        <x:v>65514.194429</x:v>
      </x:c>
      <x:c r="AD105" s="10" t="n">
        <x:v>68057.187557</x:v>
      </x:c>
      <x:c r="AE105" s="10" t="n">
        <x:f>IF(A105=B105,0,AVERAGE(E105:Q105))</x:f>
        <x:v>64166.134792769226</x:v>
      </x:c>
      <x:c r="AF105" s="10" t="n">
        <x:f>IF(A105=B105,0,AVERAGE(R105:AD105))</x:f>
        <x:v>48179.54356715384</x:v>
      </x:c>
      <x:c r="AG105" s="10" t="n">
        <x:f>AE105+AF105</x:f>
        <x:v>112345.67835992307</x:v>
      </x:c>
    </x:row>
    <x:row r="106">
      <x:c r="A106" t="str">
        <x:v>JP</x:v>
      </x:c>
      <x:c r="B106" t="str">
        <x:v>UK</x:v>
      </x:c>
      <x:c r="C106" t="str">
        <x:v>Japan</x:v>
      </x:c>
      <x:c r="D106" t="str">
        <x:v>United Kingdom</x:v>
      </x:c>
      <x:c r="E106" s="10" t="n">
        <x:v>14836.685723</x:v>
      </x:c>
      <x:c r="F106" s="10" t="n">
        <x:v>12145.576598</x:v>
      </x:c>
      <x:c r="G106" s="10" t="n">
        <x:v>11960.807506</x:v>
      </x:c>
      <x:c r="H106" s="10" t="n">
        <x:v>13204.380838</x:v>
      </x:c>
      <x:c r="I106" s="10" t="n">
        <x:v>15135.598363</x:v>
      </x:c>
      <x:c r="J106" s="10" t="n">
        <x:v>15176.811107</x:v>
      </x:c>
      <x:c r="K106" s="10" t="n">
        <x:v>15225.728322</x:v>
      </x:c>
      <x:c r="L106" s="10" t="n">
        <x:v>16303.802184</x:v>
      </x:c>
      <x:c r="M106" s="10" t="n">
        <x:v>16449.696872</x:v>
      </x:c>
      <x:c r="N106" s="10" t="n">
        <x:v>11815.319499</x:v>
      </x:c>
      <x:c r="O106" s="10" t="n">
        <x:v>14226.279525</x:v>
      </x:c>
      <x:c r="P106" s="10" t="n">
        <x:v>16413.357303</x:v>
      </x:c>
      <x:c r="Q106" s="10" t="n">
        <x:v>13350.216646</x:v>
      </x:c>
      <x:c r="R106" s="10" t="n">
        <x:v>6580.299381</x:v>
      </x:c>
      <x:c r="S106" s="10" t="n">
        <x:v>6002.329864</x:v>
      </x:c>
      <x:c r="T106" s="10" t="n">
        <x:v>5395.164312</x:v>
      </x:c>
      <x:c r="U106" s="10" t="n">
        <x:v>5848.850407</x:v>
      </x:c>
      <x:c r="V106" s="10" t="n">
        <x:v>6654.862422</x:v>
      </x:c>
      <x:c r="W106" s="10" t="n">
        <x:v>6711.328688</x:v>
      </x:c>
      <x:c r="X106" s="10" t="n">
        <x:v>6666.640138</x:v>
      </x:c>
      <x:c r="Y106" s="10" t="n">
        <x:v>7528.532176</x:v>
      </x:c>
      <x:c r="Z106" s="10" t="n">
        <x:v>7474.411512</x:v>
      </x:c>
      <x:c r="AA106" s="10" t="n">
        <x:v>5687.503416</x:v>
      </x:c>
      <x:c r="AB106" s="10" t="n">
        <x:v>6373.195028</x:v>
      </x:c>
      <x:c r="AC106" s="10" t="n">
        <x:v>7266.194328</x:v>
      </x:c>
      <x:c r="AD106" s="10" t="n">
        <x:v>7295.132541</x:v>
      </x:c>
      <x:c r="AE106" s="10" t="n">
        <x:f>IF(A106=B106,0,AVERAGE(E106:Q106))</x:f>
        <x:v>14326.481575846152</x:v>
      </x:c>
      <x:c r="AF106" s="10" t="n">
        <x:f>IF(A106=B106,0,AVERAGE(R106:AD106))</x:f>
        <x:v>6575.726477923076</x:v>
      </x:c>
      <x:c r="AG106" s="10" t="n">
        <x:f>AE106+AF106</x:f>
        <x:v>20902.208053769227</x:v>
      </x:c>
    </x:row>
    <x:row r="107">
      <x:c r="A107" t="str">
        <x:v>JP</x:v>
      </x:c>
      <x:c r="B107" t="str">
        <x:v>JP</x:v>
      </x:c>
      <x:c r="C107" t="str">
        <x:v>Japan</x:v>
      </x:c>
      <x:c r="D107" t="str">
        <x:v>Japan</x:v>
      </x:c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  <x:c r="AA107" s="10"/>
      <x:c r="AB107" s="10"/>
      <x:c r="AC107" s="10"/>
      <x:c r="AD107" s="10"/>
      <x:c r="AE107" s="10" t="n">
        <x:f>IF(A107=B107,0,AVERAGE(E107:Q107))</x:f>
        <x:v>0</x:v>
      </x:c>
      <x:c r="AF107" s="10" t="n">
        <x:f>IF(A107=B107,0,AVERAGE(R107:AD107))</x:f>
        <x:v>0</x:v>
      </x:c>
      <x:c r="AG107" s="10" t="n">
        <x:f>AE107+AF107</x:f>
        <x:v>0</x:v>
      </x:c>
    </x:row>
    <x:row r="108">
      <x:c r="A108" t="str">
        <x:v>JP</x:v>
      </x:c>
      <x:c r="B108" t="str">
        <x:v>KR</x:v>
      </x:c>
      <x:c r="C108" t="str">
        <x:v>Japan</x:v>
      </x:c>
      <x:c r="D108" t="str">
        <x:v>Korea, Republic of</x:v>
      </x:c>
      <x:c r="E108" s="10" t="n">
        <x:v>30702.917001</x:v>
      </x:c>
      <x:c r="F108" s="10" t="n">
        <x:v>25291.853922</x:v>
      </x:c>
      <x:c r="G108" s="10" t="n">
        <x:v>28611.850817</x:v>
      </x:c>
      <x:c r="H108" s="10" t="n">
        <x:v>34822.984402</x:v>
      </x:c>
      <x:c r="I108" s="10" t="n">
        <x:v>44246.950704</x:v>
      </x:c>
      <x:c r="J108" s="10" t="n">
        <x:v>46678.130111</x:v>
      </x:c>
      <x:c r="K108" s="10" t="n">
        <x:v>50290.041132</x:v>
      </x:c>
      <x:c r="L108" s="10" t="n">
        <x:v>54268.505203</x:v>
      </x:c>
      <x:c r="M108" s="10" t="n">
        <x:v>59425.453753</x:v>
      </x:c>
      <x:c r="N108" s="10" t="n">
        <x:v>47237.335442</x:v>
      </x:c>
      <x:c r="O108" s="10" t="n">
        <x:v>62270.223883</x:v>
      </x:c>
      <x:c r="P108" s="10" t="n">
        <x:v>66006.920122</x:v>
      </x:c>
      <x:c r="Q108" s="10" t="n">
        <x:v>61514.912492</x:v>
      </x:c>
      <x:c r="R108" s="10" t="n">
        <x:v>20453.568709</x:v>
      </x:c>
      <x:c r="S108" s="10" t="n">
        <x:v>17221.322624</x:v>
      </x:c>
      <x:c r="T108" s="10" t="n">
        <x:v>15497.496282</x:v>
      </x:c>
      <x:c r="U108" s="10" t="n">
        <x:v>17930.737342</x:v>
      </x:c>
      <x:c r="V108" s="10" t="n">
        <x:v>22062.503482</x:v>
      </x:c>
      <x:c r="W108" s="10" t="n">
        <x:v>24398.215771</x:v>
      </x:c>
      <x:c r="X108" s="10" t="n">
        <x:v>27385.115967</x:v>
      </x:c>
      <x:c r="Y108" s="10" t="n">
        <x:v>27299.864216</x:v>
      </x:c>
      <x:c r="Z108" s="10" t="n">
        <x:v>29505.414404</x:v>
      </x:c>
      <x:c r="AA108" s="10" t="n">
        <x:v>21986.01751</x:v>
      </x:c>
      <x:c r="AB108" s="10" t="n">
        <x:v>28648.824072</x:v>
      </x:c>
      <x:c r="AC108" s="10" t="n">
        <x:v>39786.903973</x:v>
      </x:c>
      <x:c r="AD108" s="10" t="n">
        <x:v>40526.0925</x:v>
      </x:c>
      <x:c r="AE108" s="10" t="n">
        <x:f>IF(A108=B108,0,AVERAGE(E108:Q108))</x:f>
        <x:v>47028.31376800001</x:v>
      </x:c>
      <x:c r="AF108" s="10" t="n">
        <x:f>IF(A108=B108,0,AVERAGE(R108:AD108))</x:f>
        <x:v>25592.467450153843</x:v>
      </x:c>
      <x:c r="AG108" s="10" t="n">
        <x:f>AE108+AF108</x:f>
        <x:v>72620.78121815385</x:v>
      </x:c>
    </x:row>
    <x:row r="109">
      <x:c r="A109" t="str">
        <x:v>JP</x:v>
      </x:c>
      <x:c r="B109" t="str">
        <x:v>NO</x:v>
      </x:c>
      <x:c r="C109" t="str">
        <x:v>Japan</x:v>
      </x:c>
      <x:c r="D109" t="str">
        <x:v>Norway</x:v>
      </x:c>
      <x:c r="E109" s="10" t="n">
        <x:v>989.140735</x:v>
      </x:c>
      <x:c r="F109" s="10" t="n">
        <x:v>716.998538</x:v>
      </x:c>
      <x:c r="G109" s="10" t="n">
        <x:v>665.882366</x:v>
      </x:c>
      <x:c r="H109" s="10" t="n">
        <x:v>797.004095</x:v>
      </x:c>
      <x:c r="I109" s="10" t="n">
        <x:v>1132.351284</x:v>
      </x:c>
      <x:c r="J109" s="10" t="n">
        <x:v>1093.240014</x:v>
      </x:c>
      <x:c r="K109" s="10" t="n">
        <x:v>1625.751983</x:v>
      </x:c>
      <x:c r="L109" s="10" t="n">
        <x:v>1123.185471</x:v>
      </x:c>
      <x:c r="M109" s="10" t="n">
        <x:v>1335.183807</x:v>
      </x:c>
      <x:c r="N109" s="10" t="n">
        <x:v>1045.481843</x:v>
      </x:c>
      <x:c r="O109" s="10" t="n">
        <x:v>1104.362143</x:v>
      </x:c>
      <x:c r="P109" s="10" t="n">
        <x:v>1404.768667</x:v>
      </x:c>
      <x:c r="Q109" s="10" t="n">
        <x:v>1230.235144</x:v>
      </x:c>
      <x:c r="R109" s="10" t="n">
        <x:v>1183.233034</x:v>
      </x:c>
      <x:c r="S109" s="10" t="n">
        <x:v>1037.417691</x:v>
      </x:c>
      <x:c r="T109" s="10" t="n">
        <x:v>1071.100022</x:v>
      </x:c>
      <x:c r="U109" s="10" t="n">
        <x:v>1285.016774</x:v>
      </x:c>
      <x:c r="V109" s="10" t="n">
        <x:v>1224.250263</x:v>
      </x:c>
      <x:c r="W109" s="10" t="n">
        <x:v>1134.066606</x:v>
      </x:c>
      <x:c r="X109" s="10" t="n">
        <x:v>1223.338462</x:v>
      </x:c>
      <x:c r="Y109" s="10" t="n">
        <x:v>1662.793155</x:v>
      </x:c>
      <x:c r="Z109" s="10" t="n">
        <x:v>2075.96866</x:v>
      </x:c>
      <x:c r="AA109" s="10" t="n">
        <x:v>1641.474975</x:v>
      </x:c>
      <x:c r="AB109" s="10" t="n">
        <x:v>1942.00566</x:v>
      </x:c>
      <x:c r="AC109" s="10" t="n">
        <x:v>2344.205473</x:v>
      </x:c>
      <x:c r="AD109" s="10" t="n">
        <x:v>2295.002238</x:v>
      </x:c>
      <x:c r="AE109" s="10" t="n">
        <x:f>IF(A109=B109,0,AVERAGE(E109:Q109))</x:f>
        <x:v>1097.19893</x:v>
      </x:c>
      <x:c r="AF109" s="10" t="n">
        <x:f>IF(A109=B109,0,AVERAGE(R109:AD109))</x:f>
        <x:v>1547.6825394615387</x:v>
      </x:c>
      <x:c r="AG109" s="10" t="n">
        <x:f>AE109+AF109</x:f>
        <x:v>2644.8814694615385</x:v>
      </x:c>
    </x:row>
    <x:row r="110">
      <x:c r="A110" t="str">
        <x:v>JP</x:v>
      </x:c>
      <x:c r="B110" t="str">
        <x:v>SG</x:v>
      </x:c>
      <x:c r="C110" t="str">
        <x:v>Japan</x:v>
      </x:c>
      <x:c r="D110" t="str">
        <x:v>Singapore</x:v>
      </x:c>
      <x:c r="E110" s="10" t="n">
        <x:v>20829.983596</x:v>
      </x:c>
      <x:c r="F110" s="10" t="n">
        <x:v>14713.367087</x:v>
      </x:c>
      <x:c r="G110" s="10" t="n">
        <x:v>14183.390653</x:v>
      </x:c>
      <x:c r="H110" s="10" t="n">
        <x:v>14858.306666</x:v>
      </x:c>
      <x:c r="I110" s="10" t="n">
        <x:v>17975.694918</x:v>
      </x:c>
      <x:c r="J110" s="10" t="n">
        <x:v>18528.771789</x:v>
      </x:c>
      <x:c r="K110" s="10" t="n">
        <x:v>19492.088042</x:v>
      </x:c>
      <x:c r="L110" s="10" t="n">
        <x:v>21820.590789</x:v>
      </x:c>
      <x:c r="M110" s="10" t="n">
        <x:v>26630.669826</x:v>
      </x:c>
      <x:c r="N110" s="10" t="n">
        <x:v>20701.702749</x:v>
      </x:c>
      <x:c r="O110" s="10" t="n">
        <x:v>25225.836987</x:v>
      </x:c>
      <x:c r="P110" s="10" t="n">
        <x:v>27231.146378</x:v>
      </x:c>
      <x:c r="Q110" s="10" t="n">
        <x:v>23289.691129</x:v>
      </x:c>
      <x:c r="R110" s="10" t="n">
        <x:v>6426.124557</x:v>
      </x:c>
      <x:c r="S110" s="10" t="n">
        <x:v>5382.23207</x:v>
      </x:c>
      <x:c r="T110" s="10" t="n">
        <x:v>5000.529108</x:v>
      </x:c>
      <x:c r="U110" s="10" t="n">
        <x:v>5492.8287</x:v>
      </x:c>
      <x:c r="V110" s="10" t="n">
        <x:v>6283.080788</x:v>
      </x:c>
      <x:c r="W110" s="10" t="n">
        <x:v>6697.499202</x:v>
      </x:c>
      <x:c r="X110" s="10" t="n">
        <x:v>7438.794706</x:v>
      </x:c>
      <x:c r="Y110" s="10" t="n">
        <x:v>7047.044304</x:v>
      </x:c>
      <x:c r="Z110" s="10" t="n">
        <x:v>7894.025729</x:v>
      </x:c>
      <x:c r="AA110" s="10" t="n">
        <x:v>6107.741643</x:v>
      </x:c>
      <x:c r="AB110" s="10" t="n">
        <x:v>8151.041455</x:v>
      </x:c>
      <x:c r="AC110" s="10" t="n">
        <x:v>8667.772333</x:v>
      </x:c>
      <x:c r="AD110" s="10" t="n">
        <x:v>8763.280559</x:v>
      </x:c>
      <x:c r="AE110" s="10" t="n">
        <x:f>IF(A110=B110,0,AVERAGE(E110:Q110))</x:f>
        <x:v>20421.633893</x:v>
      </x:c>
      <x:c r="AF110" s="10" t="n">
        <x:f>IF(A110=B110,0,AVERAGE(R110:AD110))</x:f>
        <x:v>6873.23039646154</x:v>
      </x:c>
      <x:c r="AG110" s="10" t="n">
        <x:f>AE110+AF110</x:f>
        <x:v>27294.86428946154</x:v>
      </x:c>
    </x:row>
    <x:row r="111">
      <x:c r="A111" t="str">
        <x:v>JP</x:v>
      </x:c>
      <x:c r="B111" t="str">
        <x:v>TR</x:v>
      </x:c>
      <x:c r="C111" t="str">
        <x:v>Japan</x:v>
      </x:c>
      <x:c r="D111" t="str">
        <x:v>Türkiye, Republic of</x:v>
      </x:c>
      <x:c r="E111" s="10" t="n">
        <x:v>1209.476035</x:v>
      </x:c>
      <x:c r="F111" s="10" t="n">
        <x:v>736.69052</x:v>
      </x:c>
      <x:c r="G111" s="10" t="n">
        <x:v>850.119879</x:v>
      </x:c>
      <x:c r="H111" s="10" t="n">
        <x:v>1395.884643</x:v>
      </x:c>
      <x:c r="I111" s="10" t="n">
        <x:v>1911.245823</x:v>
      </x:c>
      <x:c r="J111" s="10" t="n">
        <x:v>2173.545661</x:v>
      </x:c>
      <x:c r="K111" s="10" t="n">
        <x:v>2382.939238</x:v>
      </x:c>
      <x:c r="L111" s="10" t="n">
        <x:v>2750.835543</x:v>
      </x:c>
      <x:c r="M111" s="10" t="n">
        <x:v>3091.391734</x:v>
      </x:c>
      <x:c r="N111" s="10" t="n">
        <x:v>1598.80276</x:v>
      </x:c>
      <x:c r="O111" s="10" t="n">
        <x:v>2559.61433</x:v>
      </x:c>
      <x:c r="P111" s="10" t="n">
        <x:v>3073.621176</x:v>
      </x:c>
      <x:c r="Q111" s="10" t="n">
        <x:v>2414.288254</x:v>
      </x:c>
      <x:c r="R111" s="10" t="n">
        <x:v>169.820553</x:v>
      </x:c>
      <x:c r="S111" s="10" t="n">
        <x:v>153.741092</x:v>
      </x:c>
      <x:c r="T111" s="10" t="n">
        <x:v>165.607599</x:v>
      </x:c>
      <x:c r="U111" s="10" t="n">
        <x:v>208.873334</x:v>
      </x:c>
      <x:c r="V111" s="10" t="n">
        <x:v>266.381966</x:v>
      </x:c>
      <x:c r="W111" s="10" t="n">
        <x:v>284.724467</x:v>
      </x:c>
      <x:c r="X111" s="10" t="n">
        <x:v>328.872801</x:v>
      </x:c>
      <x:c r="Y111" s="10" t="n">
        <x:v>366.517913</x:v>
      </x:c>
      <x:c r="Z111" s="10" t="n">
        <x:v>421.789504</x:v>
      </x:c>
      <x:c r="AA111" s="10" t="n">
        <x:v>397.992947</x:v>
      </x:c>
      <x:c r="AB111" s="10" t="n">
        <x:v>400.326741</x:v>
      </x:c>
      <x:c r="AC111" s="10" t="n">
        <x:v>516.280452</x:v>
      </x:c>
      <x:c r="AD111" s="10" t="n">
        <x:v>574.951461</x:v>
      </x:c>
      <x:c r="AE111" s="10" t="n">
        <x:f>IF(A111=B111,0,AVERAGE(E111:Q111))</x:f>
        <x:v>2011.4196612307692</x:v>
      </x:c>
      <x:c r="AF111" s="10" t="n">
        <x:f>IF(A111=B111,0,AVERAGE(R111:AD111))</x:f>
        <x:v>327.37544846153844</x:v>
      </x:c>
      <x:c r="AG111" s="10" t="n">
        <x:f>AE111+AF111</x:f>
        <x:v>2338.7951096923075</x:v>
      </x:c>
    </x:row>
    <x:row r="112">
      <x:c r="A112" t="str">
        <x:v>JP</x:v>
      </x:c>
      <x:c r="B112" t="str">
        <x:v>US</x:v>
      </x:c>
      <x:c r="C112" t="str">
        <x:v>Japan</x:v>
      </x:c>
      <x:c r="D112" t="str">
        <x:v>United States</x:v>
      </x:c>
      <x:c r="E112" s="10" t="n">
        <x:v>144009.429186</x:v>
      </x:c>
      <x:c r="F112" s="10" t="n">
        <x:v>122700.632601</x:v>
      </x:c>
      <x:c r="G112" s="10" t="n">
        <x:v>120197.750011</x:v>
      </x:c>
      <x:c r="H112" s="10" t="n">
        <x:v>117384.239441</x:v>
      </x:c>
      <x:c r="I112" s="10" t="n">
        <x:v>128606.002477</x:v>
      </x:c>
      <x:c r="J112" s="10" t="n">
        <x:v>136001.609731</x:v>
      </x:c>
      <x:c r="K112" s="10" t="n">
        <x:v>147230.373944</x:v>
      </x:c>
      <x:c r="L112" s="10" t="n">
        <x:v>145575.405236</x:v>
      </x:c>
      <x:c r="M112" s="10" t="n">
        <x:v>138931.742056</x:v>
      </x:c>
      <x:c r="N112" s="10" t="n">
        <x:v>95343.110837</x:v>
      </x:c>
      <x:c r="O112" s="10" t="n">
        <x:v>120483.371987</x:v>
      </x:c>
      <x:c r="P112" s="10" t="n">
        <x:v>127773.956737</x:v>
      </x:c>
      <x:c r="Q112" s="10" t="n">
        <x:v>142053.28055</x:v>
      </x:c>
      <x:c r="R112" s="10" t="n">
        <x:v>72513.957937</x:v>
      </x:c>
      <x:c r="S112" s="10" t="n">
        <x:v>63712.620169</x:v>
      </x:c>
      <x:c r="T112" s="10" t="n">
        <x:v>58588.915957</x:v>
      </x:c>
      <x:c r="U112" s="10" t="n">
        <x:v>59891.463182</x:v>
      </x:c>
      <x:c r="V112" s="10" t="n">
        <x:v>63604.842812</x:v>
      </x:c>
      <x:c r="W112" s="10" t="n">
        <x:v>65446.87408</x:v>
      </x:c>
      <x:c r="X112" s="10" t="n">
        <x:v>69328.533768</x:v>
      </x:c>
      <x:c r="Y112" s="10" t="n">
        <x:v>72263.857188</x:v>
      </x:c>
      <x:c r="Z112" s="10" t="n">
        <x:v>78974.928735</x:v>
      </x:c>
      <x:c r="AA112" s="10" t="n">
        <x:v>60486.611747</x:v>
      </x:c>
      <x:c r="AB112" s="10" t="n">
        <x:v>69026.518941</x:v>
      </x:c>
      <x:c r="AC112" s="10" t="n">
        <x:v>76172.743466</x:v>
      </x:c>
      <x:c r="AD112" s="10" t="n">
        <x:v>78230.619833</x:v>
      </x:c>
      <x:c r="AE112" s="10" t="n">
        <x:f>IF(A112=B112,0,AVERAGE(E112:Q112))</x:f>
        <x:v>129714.68498415385</x:v>
      </x:c>
      <x:c r="AF112" s="10" t="n">
        <x:f>IF(A112=B112,0,AVERAGE(R112:AD112))</x:f>
        <x:v>68326.34521653845</x:v>
      </x:c>
      <x:c r="AG112" s="10" t="n">
        <x:f>AE112+AF112</x:f>
        <x:v>198041.0302006923</x:v>
      </x:c>
    </x:row>
    <x:row r="113">
      <x:c r="A113" t="str">
        <x:v>JP</x:v>
      </x:c>
      <x:c r="B113" t="str">
        <x:v>ZA</x:v>
      </x:c>
      <x:c r="C113" t="str">
        <x:v>Japan</x:v>
      </x:c>
      <x:c r="D113" t="str">
        <x:v>South Africa</x:v>
      </x:c>
      <x:c r="E113" s="10" t="n">
        <x:v>1878.050924</x:v>
      </x:c>
      <x:c r="F113" s="10" t="n">
        <x:v>1496.406486</x:v>
      </x:c>
      <x:c r="G113" s="10" t="n">
        <x:v>1557.926618</x:v>
      </x:c>
      <x:c r="H113" s="10" t="n">
        <x:v>2035.769523</x:v>
      </x:c>
      <x:c r="I113" s="10" t="n">
        <x:v>2916.706237</x:v>
      </x:c>
      <x:c r="J113" s="10" t="n">
        <x:v>3276.765747</x:v>
      </x:c>
      <x:c r="K113" s="10" t="n">
        <x:v>4067.25808</x:v>
      </x:c>
      <x:c r="L113" s="10" t="n">
        <x:v>4618.317053</x:v>
      </x:c>
      <x:c r="M113" s="10" t="n">
        <x:v>4629.845085</x:v>
      </x:c>
      <x:c r="N113" s="10" t="n">
        <x:v>2612.375813</x:v>
      </x:c>
      <x:c r="O113" s="10" t="n">
        <x:v>3833.925796</x:v>
      </x:c>
      <x:c r="P113" s="10" t="n">
        <x:v>4320.961866</x:v>
      </x:c>
      <x:c r="Q113" s="10" t="n">
        <x:v>4066.369757</x:v>
      </x:c>
      <x:c r="R113" s="10" t="n">
        <x:v>3009.837099</x:v>
      </x:c>
      <x:c r="S113" s="10" t="n">
        <x:v>2796.734741</x:v>
      </x:c>
      <x:c r="T113" s="10" t="n">
        <x:v>2911.53266</x:v>
      </x:c>
      <x:c r="U113" s="10" t="n">
        <x:v>3591.563845</x:v>
      </x:c>
      <x:c r="V113" s="10" t="n">
        <x:v>4605.687466</x:v>
      </x:c>
      <x:c r="W113" s="10" t="n">
        <x:v>5532.339137</x:v>
      </x:c>
      <x:c r="X113" s="10" t="n">
        <x:v>6695.152778</x:v>
      </x:c>
      <x:c r="Y113" s="10" t="n">
        <x:v>7742.073992</x:v>
      </x:c>
      <x:c r="Z113" s="10" t="n">
        <x:v>8987.260749</x:v>
      </x:c>
      <x:c r="AA113" s="10" t="n">
        <x:v>4988.14783</x:v>
      </x:c>
      <x:c r="AB113" s="10" t="n">
        <x:v>7275.060891</x:v>
      </x:c>
      <x:c r="AC113" s="10" t="n">
        <x:v>8454.532475</x:v>
      </x:c>
      <x:c r="AD113" s="10" t="n">
        <x:v>6415.107971</x:v>
      </x:c>
      <x:c r="AE113" s="10" t="n">
        <x:f>IF(A113=B113,0,AVERAGE(E113:Q113))</x:f>
        <x:v>3177.744537307692</x:v>
      </x:c>
      <x:c r="AF113" s="10" t="n">
        <x:f>IF(A113=B113,0,AVERAGE(R113:AD113))</x:f>
        <x:v>5615.771664153846</x:v>
      </x:c>
      <x:c r="AG113" s="10" t="n">
        <x:f>AE113+AF113</x:f>
        <x:v>8793.516201461538</x:v>
      </x:c>
    </x:row>
    <x:row r="114">
      <x:c r="A114" t="str">
        <x:v>KR</x:v>
      </x:c>
      <x:c r="B114" t="str">
        <x:v>AU</x:v>
      </x:c>
      <x:c r="C114" t="str">
        <x:v>Korea, Republic of</x:v>
      </x:c>
      <x:c r="D114" t="str">
        <x:v>Australia</x:v>
      </x:c>
      <x:c r="E114" s="10" t="n">
        <x:v>2606.382504</x:v>
      </x:c>
      <x:c r="F114" s="10" t="n">
        <x:v>2173.20004</x:v>
      </x:c>
      <x:c r="G114" s="10" t="n">
        <x:v>2339.591088</x:v>
      </x:c>
      <x:c r="H114" s="10" t="n">
        <x:v>3272.163</x:v>
      </x:c>
      <x:c r="I114" s="10" t="n">
        <x:v>3378.483998</x:v>
      </x:c>
      <x:c r="J114" s="10" t="n">
        <x:v>3812.063</x:v>
      </x:c>
      <x:c r="K114" s="10" t="n">
        <x:v>4692.088</x:v>
      </x:c>
      <x:c r="L114" s="10" t="n">
        <x:v>4691.191001</x:v>
      </x:c>
      <x:c r="M114" s="10" t="n">
        <x:v>5171.338999</x:v>
      </x:c>
      <x:c r="N114" s="10" t="n">
        <x:v>5243.144</x:v>
      </x:c>
      <x:c r="O114" s="10" t="n">
        <x:v>6641.623971</x:v>
      </x:c>
      <x:c r="P114" s="10" t="n">
        <x:v>8163.289702</x:v>
      </x:c>
      <x:c r="Q114" s="10" t="n">
        <x:v>9250.484914</x:v>
      </x:c>
      <x:c r="R114" s="10" t="n">
        <x:v>5958.7017</x:v>
      </x:c>
      <x:c r="S114" s="10" t="n">
        <x:v>5534.144771</x:v>
      </x:c>
      <x:c r="T114" s="10" t="n">
        <x:v>5973.378102</x:v>
      </x:c>
      <x:c r="U114" s="10" t="n">
        <x:v>5915.823998</x:v>
      </x:c>
      <x:c r="V114" s="10" t="n">
        <x:v>7437.749999</x:v>
      </x:c>
      <x:c r="W114" s="10" t="n">
        <x:v>9859.557999</x:v>
      </x:c>
      <x:c r="X114" s="10" t="n">
        <x:v>11309.452</x:v>
      </x:c>
      <x:c r="Y114" s="10" t="n">
        <x:v>13232.472001</x:v>
      </x:c>
      <x:c r="Z114" s="10" t="n">
        <x:v>18000.309999</x:v>
      </x:c>
      <x:c r="AA114" s="10" t="n">
        <x:v>14756.068001</x:v>
      </x:c>
      <x:c r="AB114" s="10" t="n">
        <x:v>20456.219436</x:v>
      </x:c>
      <x:c r="AC114" s="10" t="n">
        <x:v>26322.64923</x:v>
      </x:c>
      <x:c r="AD114" s="10" t="n">
        <x:v>22987.919193</x:v>
      </x:c>
      <x:c r="AE114" s="10" t="n">
        <x:f>IF(A114=B114,0,AVERAGE(E114:Q114))</x:f>
        <x:v>4725.772632076923</x:v>
      </x:c>
      <x:c r="AF114" s="10" t="n">
        <x:f>IF(A114=B114,0,AVERAGE(R114:AD114))</x:f>
        <x:v>12903.418956076923</x:v>
      </x:c>
      <x:c r="AG114" s="10" t="n">
        <x:f>AE114+AF114</x:f>
        <x:v>17629.191588153844</x:v>
      </x:c>
    </x:row>
    <x:row r="115">
      <x:c r="A115" t="str">
        <x:v>KR</x:v>
      </x:c>
      <x:c r="B115" t="str">
        <x:v>BR</x:v>
      </x:c>
      <x:c r="C115" t="str">
        <x:v>Korea, Republic of</x:v>
      </x:c>
      <x:c r="D115" t="str">
        <x:v>Brazil</x:v>
      </x:c>
      <x:c r="E115" s="10" t="n">
        <x:v>1724.129844</x:v>
      </x:c>
      <x:c r="F115" s="10" t="n">
        <x:v>1611.210139</x:v>
      </x:c>
      <x:c r="G115" s="10" t="n">
        <x:v>1247.242467</x:v>
      </x:c>
      <x:c r="H115" s="10" t="n">
        <x:v>1137.426</x:v>
      </x:c>
      <x:c r="I115" s="10" t="n">
        <x:v>1784.642</x:v>
      </x:c>
      <x:c r="J115" s="10" t="n">
        <x:v>2410.687</x:v>
      </x:c>
      <x:c r="K115" s="10" t="n">
        <x:v>3063.432</x:v>
      </x:c>
      <x:c r="L115" s="10" t="n">
        <x:v>3487.475998</x:v>
      </x:c>
      <x:c r="M115" s="10" t="n">
        <x:v>5925.866</x:v>
      </x:c>
      <x:c r="N115" s="10" t="n">
        <x:v>5311.21</x:v>
      </x:c>
      <x:c r="O115" s="10" t="n">
        <x:v>7752.579178</x:v>
      </x:c>
      <x:c r="P115" s="10" t="n">
        <x:v>11823.807257</x:v>
      </x:c>
      <x:c r="Q115" s="10" t="n">
        <x:v>10286.064899</x:v>
      </x:c>
      <x:c r="R115" s="10" t="n">
        <x:v>935.310101</x:v>
      </x:c>
      <x:c r="S115" s="10" t="n">
        <x:v>1125.710453</x:v>
      </x:c>
      <x:c r="T115" s="10" t="n">
        <x:v>1247.972366</x:v>
      </x:c>
      <x:c r="U115" s="10" t="n">
        <x:v>1619.220999</x:v>
      </x:c>
      <x:c r="V115" s="10" t="n">
        <x:v>2195.407</x:v>
      </x:c>
      <x:c r="W115" s="10" t="n">
        <x:v>2500.784999</x:v>
      </x:c>
      <x:c r="X115" s="10" t="n">
        <x:v>2706.904</x:v>
      </x:c>
      <x:c r="Y115" s="10" t="n">
        <x:v>2793.711001</x:v>
      </x:c>
      <x:c r="Z115" s="10" t="n">
        <x:v>4380.46</x:v>
      </x:c>
      <x:c r="AA115" s="10" t="n">
        <x:v>3743.503001</x:v>
      </x:c>
      <x:c r="AB115" s="10" t="n">
        <x:v>4712.085317</x:v>
      </x:c>
      <x:c r="AC115" s="10" t="n">
        <x:v>6340.125983</x:v>
      </x:c>
      <x:c r="AD115" s="10" t="n">
        <x:v>6085.364049</x:v>
      </x:c>
      <x:c r="AE115" s="10" t="n">
        <x:f>IF(A115=B115,0,AVERAGE(E115:Q115))</x:f>
        <x:v>4428.136367846154</x:v>
      </x:c>
      <x:c r="AF115" s="10" t="n">
        <x:f>IF(A115=B115,0,AVERAGE(R115:AD115))</x:f>
        <x:v>3106.6584053076926</x:v>
      </x:c>
      <x:c r="AG115" s="10" t="n">
        <x:f>AE115+AF115</x:f>
        <x:v>7534.794773153846</x:v>
      </x:c>
    </x:row>
    <x:row r="116">
      <x:c r="A116" t="str">
        <x:v>KR</x:v>
      </x:c>
      <x:c r="B116" t="str">
        <x:v>CA</x:v>
      </x:c>
      <x:c r="C116" t="str">
        <x:v>Korea, Republic of</x:v>
      </x:c>
      <x:c r="D116" t="str">
        <x:v>Canada</x:v>
      </x:c>
      <x:c r="E116" s="10" t="n">
        <x:v>2426.732184</x:v>
      </x:c>
      <x:c r="F116" s="10" t="n">
        <x:v>2035.728309</x:v>
      </x:c>
      <x:c r="G116" s="10" t="n">
        <x:v>2340.629545</x:v>
      </x:c>
      <x:c r="H116" s="10" t="n">
        <x:v>2682.124999</x:v>
      </x:c>
      <x:c r="I116" s="10" t="n">
        <x:v>3383.073999</x:v>
      </x:c>
      <x:c r="J116" s="10" t="n">
        <x:v>3446.220001</x:v>
      </x:c>
      <x:c r="K116" s="10" t="n">
        <x:v>3620.404998</x:v>
      </x:c>
      <x:c r="L116" s="10" t="n">
        <x:v>3506.423</x:v>
      </x:c>
      <x:c r="M116" s="10" t="n">
        <x:v>4057.234</x:v>
      </x:c>
      <x:c r="N116" s="10" t="n">
        <x:v>3439.569998</x:v>
      </x:c>
      <x:c r="O116" s="10" t="n">
        <x:v>4101.863825</x:v>
      </x:c>
      <x:c r="P116" s="10" t="n">
        <x:v>4930.030006</x:v>
      </x:c>
      <x:c r="Q116" s="10" t="n">
        <x:v>4828.11597</x:v>
      </x:c>
      <x:c r="R116" s="10" t="n">
        <x:v>2107.7895</x:v>
      </x:c>
      <x:c r="S116" s="10" t="n">
        <x:v>1821.335469</x:v>
      </x:c>
      <x:c r="T116" s="10" t="n">
        <x:v>1845.541786</x:v>
      </x:c>
      <x:c r="U116" s="10" t="n">
        <x:v>1860.060001</x:v>
      </x:c>
      <x:c r="V116" s="10" t="n">
        <x:v>2188.744001</x:v>
      </x:c>
      <x:c r="W116" s="10" t="n">
        <x:v>2603.716001</x:v>
      </x:c>
      <x:c r="X116" s="10" t="n">
        <x:v>3091.282</x:v>
      </x:c>
      <x:c r="Y116" s="10" t="n">
        <x:v>3254.474</x:v>
      </x:c>
      <x:c r="Z116" s="10" t="n">
        <x:v>4403.522</x:v>
      </x:c>
      <x:c r="AA116" s="10" t="n">
        <x:v>3535.329</x:v>
      </x:c>
      <x:c r="AB116" s="10" t="n">
        <x:v>4350.930254</x:v>
      </x:c>
      <x:c r="AC116" s="10" t="n">
        <x:v>6609.35291</x:v>
      </x:c>
      <x:c r="AD116" s="10" t="n">
        <x:v>5247.371448</x:v>
      </x:c>
      <x:c r="AE116" s="10" t="n">
        <x:f>IF(A116=B116,0,AVERAGE(E116:Q116))</x:f>
        <x:v>3446.0116026153846</x:v>
      </x:c>
      <x:c r="AF116" s="10" t="n">
        <x:f>IF(A116=B116,0,AVERAGE(R116:AD116))</x:f>
        <x:v>3301.496028461538</x:v>
      </x:c>
      <x:c r="AG116" s="10" t="n">
        <x:f>AE116+AF116</x:f>
        <x:v>6747.507631076923</x:v>
      </x:c>
    </x:row>
    <x:row r="117">
      <x:c r="A117" t="str">
        <x:v>KR</x:v>
      </x:c>
      <x:c r="B117" t="str">
        <x:v>CH</x:v>
      </x:c>
      <x:c r="C117" t="str">
        <x:v>Korea, Republic of</x:v>
      </x:c>
      <x:c r="D117" t="str">
        <x:v>Switzerland</x:v>
      </x:c>
      <x:c r="E117" s="10" t="n">
        <x:v>515.996494</x:v>
      </x:c>
      <x:c r="F117" s="10" t="n">
        <x:v>431.983939</x:v>
      </x:c>
      <x:c r="G117" s="10" t="n">
        <x:v>448.995583</x:v>
      </x:c>
      <x:c r="H117" s="10" t="n">
        <x:v>434.124998</x:v>
      </x:c>
      <x:c r="I117" s="10" t="n">
        <x:v>516.431999</x:v>
      </x:c>
      <x:c r="J117" s="10" t="n">
        <x:v>579.636999</x:v>
      </x:c>
      <x:c r="K117" s="10" t="n">
        <x:v>844.07</x:v>
      </x:c>
      <x:c r="L117" s="10" t="n">
        <x:v>488.017</x:v>
      </x:c>
      <x:c r="M117" s="10" t="n">
        <x:v>402.647</x:v>
      </x:c>
      <x:c r="N117" s="10" t="n">
        <x:v>343.844001</x:v>
      </x:c>
      <x:c r="O117" s="10" t="n">
        <x:v>373.221784</x:v>
      </x:c>
      <x:c r="P117" s="10" t="n">
        <x:v>1134.235132</x:v>
      </x:c>
      <x:c r="Q117" s="10" t="n">
        <x:v>406.458369</x:v>
      </x:c>
      <x:c r="R117" s="10" t="n">
        <x:v>975.892401</x:v>
      </x:c>
      <x:c r="S117" s="10" t="n">
        <x:v>850.748172</x:v>
      </x:c>
      <x:c r="T117" s="10" t="n">
        <x:v>1004.20455</x:v>
      </x:c>
      <x:c r="U117" s="10" t="n">
        <x:v>1444.457</x:v>
      </x:c>
      <x:c r="V117" s="10" t="n">
        <x:v>1214.448</x:v>
      </x:c>
      <x:c r="W117" s="10" t="n">
        <x:v>1170.132</x:v>
      </x:c>
      <x:c r="X117" s="10" t="n">
        <x:v>1325.291</x:v>
      </x:c>
      <x:c r="Y117" s="10" t="n">
        <x:v>1997.046002</x:v>
      </x:c>
      <x:c r="Z117" s="10" t="n">
        <x:v>1913.600001</x:v>
      </x:c>
      <x:c r="AA117" s="10" t="n">
        <x:v>1668.257</x:v>
      </x:c>
      <x:c r="AB117" s="10" t="n">
        <x:v>2011.456724</x:v>
      </x:c>
      <x:c r="AC117" s="10" t="n">
        <x:v>2563.646786</x:v>
      </x:c>
      <x:c r="AD117" s="10" t="n">
        <x:v>2590.90721</x:v>
      </x:c>
      <x:c r="AE117" s="10" t="n">
        <x:f>IF(A117=B117,0,AVERAGE(E117:Q117))</x:f>
        <x:v>532.2817921538461</x:v>
      </x:c>
      <x:c r="AF117" s="10" t="n">
        <x:f>IF(A117=B117,0,AVERAGE(R117:AD117))</x:f>
        <x:v>1594.6220650769233</x:v>
      </x:c>
      <x:c r="AG117" s="10" t="n">
        <x:f>AE117+AF117</x:f>
        <x:v>2126.9038572307695</x:v>
      </x:c>
    </x:row>
    <x:row r="118">
      <x:c r="A118" t="str">
        <x:v>KR</x:v>
      </x:c>
      <x:c r="B118" t="str">
        <x:v>CN</x:v>
      </x:c>
      <x:c r="C118" t="str">
        <x:v>Korea, Republic of</x:v>
      </x:c>
      <x:c r="D118" t="str">
        <x:v>China, People's Republic of</x:v>
      </x:c>
      <x:c r="E118" s="10" t="n">
        <x:v>18454.53958</x:v>
      </x:c>
      <x:c r="F118" s="10" t="n">
        <x:v>18190.18965</x:v>
      </x:c>
      <x:c r="G118" s="10" t="n">
        <x:v>23753.585749</x:v>
      </x:c>
      <x:c r="H118" s="10" t="n">
        <x:v>35109.714999</x:v>
      </x:c>
      <x:c r="I118" s="10" t="n">
        <x:v>49763.175001</x:v>
      </x:c>
      <x:c r="J118" s="10" t="n">
        <x:v>61914.983001</x:v>
      </x:c>
      <x:c r="K118" s="10" t="n">
        <x:v>69459.178</x:v>
      </x:c>
      <x:c r="L118" s="10" t="n">
        <x:v>81985.183001</x:v>
      </x:c>
      <x:c r="M118" s="10" t="n">
        <x:v>91388.9</x:v>
      </x:c>
      <x:c r="N118" s="10" t="n">
        <x:v>86703.245002</x:v>
      </x:c>
      <x:c r="O118" s="10" t="n">
        <x:v>116837.833403</x:v>
      </x:c>
      <x:c r="P118" s="10" t="n">
        <x:v>134204.925625</x:v>
      </x:c>
      <x:c r="Q118" s="10" t="n">
        <x:v>134322.564069</x:v>
      </x:c>
      <x:c r="R118" s="10" t="n">
        <x:v>12798.727501</x:v>
      </x:c>
      <x:c r="S118" s="10" t="n">
        <x:v>13302.675219</x:v>
      </x:c>
      <x:c r="T118" s="10" t="n">
        <x:v>17399.778001</x:v>
      </x:c>
      <x:c r="U118" s="10" t="n">
        <x:v>21909.127001</x:v>
      </x:c>
      <x:c r="V118" s="10" t="n">
        <x:v>29584.874</x:v>
      </x:c>
      <x:c r="W118" s="10" t="n">
        <x:v>38648.188</x:v>
      </x:c>
      <x:c r="X118" s="10" t="n">
        <x:v>48556.674999</x:v>
      </x:c>
      <x:c r="Y118" s="10" t="n">
        <x:v>63027.801998</x:v>
      </x:c>
      <x:c r="Z118" s="10" t="n">
        <x:v>76930.272001</x:v>
      </x:c>
      <x:c r="AA118" s="10" t="n">
        <x:v>54246.056</x:v>
      </x:c>
      <x:c r="AB118" s="10" t="n">
        <x:v>71573.602715</x:v>
      </x:c>
      <x:c r="AC118" s="10" t="n">
        <x:v>86425.821272</x:v>
      </x:c>
      <x:c r="AD118" s="10" t="n">
        <x:v>80784.595101</x:v>
      </x:c>
      <x:c r="AE118" s="10" t="n">
        <x:f>IF(A118=B118,0,AVERAGE(E118:Q118))</x:f>
        <x:v>70929.8474676923</x:v>
      </x:c>
      <x:c r="AF118" s="10" t="n">
        <x:f>IF(A118=B118,0,AVERAGE(R118:AD118))</x:f>
        <x:v>47322.16875446154</x:v>
      </x:c>
      <x:c r="AG118" s="10" t="n">
        <x:f>AE118+AF118</x:f>
        <x:v>118252.01622215385</x:v>
      </x:c>
    </x:row>
    <x:row r="119">
      <x:c r="A119" t="str">
        <x:v>KR</x:v>
      </x:c>
      <x:c r="B119" t="str">
        <x:v>EA</x:v>
      </x:c>
      <x:c r="C119" t="str">
        <x:v>Korea, Republic of</x:v>
      </x:c>
      <x:c r="D119" t="str">
        <x:v>Euro Area (EA)</x:v>
      </x:c>
      <x:c r="E119" s="10" t="n">
        <x:v>17822.145259</x:v>
      </x:c>
      <x:c r="F119" s="10" t="n">
        <x:v>16440.188857</x:v>
      </x:c>
      <x:c r="G119" s="10" t="n">
        <x:v>18065.265047</x:v>
      </x:c>
      <x:c r="H119" s="10" t="n">
        <x:v>20903.660005</x:v>
      </x:c>
      <x:c r="I119" s="10" t="n">
        <x:v>29154.068001</x:v>
      </x:c>
      <x:c r="J119" s="10" t="n">
        <x:v>34379.127998</x:v>
      </x:c>
      <x:c r="K119" s="10" t="n">
        <x:v>37096.822005</x:v>
      </x:c>
      <x:c r="L119" s="10" t="n">
        <x:v>40560.350995</x:v>
      </x:c>
      <x:c r="M119" s="10" t="n">
        <x:v>44059.558007</x:v>
      </x:c>
      <x:c r="N119" s="10" t="n">
        <x:v>34874.742999</x:v>
      </x:c>
      <x:c r="O119" s="10" t="n">
        <x:v>38390.121335</x:v>
      </x:c>
      <x:c r="P119" s="10" t="n">
        <x:v>41487.772922</x:v>
      </x:c>
      <x:c r="Q119" s="10" t="n">
        <x:v>36450.75288</x:v>
      </x:c>
      <x:c r="R119" s="10" t="n">
        <x:v>12393.853095</x:v>
      </x:c>
      <x:c r="S119" s="10" t="n">
        <x:v>11860.894258</x:v>
      </x:c>
      <x:c r="T119" s="10" t="n">
        <x:v>13807.732098</x:v>
      </x:c>
      <x:c r="U119" s="10" t="n">
        <x:v>15780.821004</x:v>
      </x:c>
      <x:c r="V119" s="10" t="n">
        <x:v>18855.041005</x:v>
      </x:c>
      <x:c r="W119" s="10" t="n">
        <x:v>22205.921999</x:v>
      </x:c>
      <x:c r="X119" s="10" t="n">
        <x:v>24806.272997</x:v>
      </x:c>
      <x:c r="Y119" s="10" t="n">
        <x:v>30334.990997</x:v>
      </x:c>
      <x:c r="Z119" s="10" t="n">
        <x:v>33018.670995</x:v>
      </x:c>
      <x:c r="AA119" s="10" t="n">
        <x:v>26540.288007</x:v>
      </x:c>
      <x:c r="AB119" s="10" t="n">
        <x:v>32130.61306</x:v>
      </x:c>
      <x:c r="AC119" s="10" t="n">
        <x:v>38902.078419</x:v>
      </x:c>
      <x:c r="AD119" s="10" t="n">
        <x:v>39400.288104</x:v>
      </x:c>
      <x:c r="AE119" s="10" t="n">
        <x:f>IF(A119=B119,0,AVERAGE(E119:Q119))</x:f>
        <x:v>31514.19817769231</x:v>
      </x:c>
      <x:c r="AF119" s="10" t="n">
        <x:f>IF(A119=B119,0,AVERAGE(R119:AD119))</x:f>
        <x:v>24618.266618307694</x:v>
      </x:c>
      <x:c r="AG119" s="10" t="n">
        <x:f>AE119+AF119</x:f>
        <x:v>56132.464796</x:v>
      </x:c>
    </x:row>
    <x:row r="120">
      <x:c r="A120" t="str">
        <x:v>KR</x:v>
      </x:c>
      <x:c r="B120" t="str">
        <x:v>UK</x:v>
      </x:c>
      <x:c r="C120" t="str">
        <x:v>Korea, Republic of</x:v>
      </x:c>
      <x:c r="D120" t="str">
        <x:v>United Kingdom</x:v>
      </x:c>
      <x:c r="E120" s="10" t="n">
        <x:v>5379.832993</x:v>
      </x:c>
      <x:c r="F120" s="10" t="n">
        <x:v>3489.987555</x:v>
      </x:c>
      <x:c r="G120" s="10" t="n">
        <x:v>4255.459279</x:v>
      </x:c>
      <x:c r="H120" s="10" t="n">
        <x:v>4094.251999</x:v>
      </x:c>
      <x:c r="I120" s="10" t="n">
        <x:v>5515.982999</x:v>
      </x:c>
      <x:c r="J120" s="10" t="n">
        <x:v>5338.844</x:v>
      </x:c>
      <x:c r="K120" s="10" t="n">
        <x:v>5635.118999</x:v>
      </x:c>
      <x:c r="L120" s="10" t="n">
        <x:v>6870.038001</x:v>
      </x:c>
      <x:c r="M120" s="10" t="n">
        <x:v>5936.154</x:v>
      </x:c>
      <x:c r="N120" s="10" t="n">
        <x:v>3796.552999</x:v>
      </x:c>
      <x:c r="O120" s="10" t="n">
        <x:v>5555.122184</x:v>
      </x:c>
      <x:c r="P120" s="10" t="n">
        <x:v>5480.491512</x:v>
      </x:c>
      <x:c r="Q120" s="10" t="n">
        <x:v>4926.025107</x:v>
      </x:c>
      <x:c r="R120" s="10" t="n">
        <x:v>2575.701199</x:v>
      </x:c>
      <x:c r="S120" s="10" t="n">
        <x:v>2353.548676</x:v>
      </x:c>
      <x:c r="T120" s="10" t="n">
        <x:v>2437.384101</x:v>
      </x:c>
      <x:c r="U120" s="10" t="n">
        <x:v>2703.272002</x:v>
      </x:c>
      <x:c r="V120" s="10" t="n">
        <x:v>3793.346999</x:v>
      </x:c>
      <x:c r="W120" s="10" t="n">
        <x:v>3149.069002</x:v>
      </x:c>
      <x:c r="X120" s="10" t="n">
        <x:v>2976.539</x:v>
      </x:c>
      <x:c r="Y120" s="10" t="n">
        <x:v>3580.763998</x:v>
      </x:c>
      <x:c r="Z120" s="10" t="n">
        <x:v>3637.133001</x:v>
      </x:c>
      <x:c r="AA120" s="10" t="n">
        <x:v>2895.768001</x:v>
      </x:c>
      <x:c r="AB120" s="10" t="n">
        <x:v>3265.546757</x:v>
      </x:c>
      <x:c r="AC120" s="10" t="n">
        <x:v>3813.056725</x:v>
      </x:c>
      <x:c r="AD120" s="10" t="n">
        <x:v>6366.807708</x:v>
      </x:c>
      <x:c r="AE120" s="10" t="n">
        <x:f>IF(A120=B120,0,AVERAGE(E120:Q120))</x:f>
        <x:v>5097.989355923078</x:v>
      </x:c>
      <x:c r="AF120" s="10" t="n">
        <x:f>IF(A120=B120,0,AVERAGE(R120:AD120))</x:f>
        <x:v>3349.841320692308</x:v>
      </x:c>
      <x:c r="AG120" s="10" t="n">
        <x:f>AE120+AF120</x:f>
        <x:v>8447.830676615386</x:v>
      </x:c>
    </x:row>
    <x:row r="121">
      <x:c r="A121" t="str">
        <x:v>KR</x:v>
      </x:c>
      <x:c r="B121" t="str">
        <x:v>JP</x:v>
      </x:c>
      <x:c r="C121" t="str">
        <x:v>Korea, Republic of</x:v>
      </x:c>
      <x:c r="D121" t="str">
        <x:v>Japan</x:v>
      </x:c>
      <x:c r="E121" s="10" t="n">
        <x:v>20466.015822</x:v>
      </x:c>
      <x:c r="F121" s="10" t="n">
        <x:v>16505.76626</x:v>
      </x:c>
      <x:c r="G121" s="10" t="n">
        <x:v>15143.182799</x:v>
      </x:c>
      <x:c r="H121" s="10" t="n">
        <x:v>17276.137</x:v>
      </x:c>
      <x:c r="I121" s="10" t="n">
        <x:v>21701.336999</x:v>
      </x:c>
      <x:c r="J121" s="10" t="n">
        <x:v>24027.438002</x:v>
      </x:c>
      <x:c r="K121" s="10" t="n">
        <x:v>26534.014999</x:v>
      </x:c>
      <x:c r="L121" s="10" t="n">
        <x:v>26370.191001</x:v>
      </x:c>
      <x:c r="M121" s="10" t="n">
        <x:v>28252.471002</x:v>
      </x:c>
      <x:c r="N121" s="10" t="n">
        <x:v>21770.839001</x:v>
      </x:c>
      <x:c r="O121" s="10" t="n">
        <x:v>28176.281179</x:v>
      </x:c>
      <x:c r="P121" s="10" t="n">
        <x:v>39712.547623</x:v>
      </x:c>
      <x:c r="Q121" s="10" t="n">
        <x:v>38796.056941</x:v>
      </x:c>
      <x:c r="R121" s="10" t="n">
        <x:v>31827.943301</x:v>
      </x:c>
      <x:c r="S121" s="10" t="n">
        <x:v>26633.371569</x:v>
      </x:c>
      <x:c r="T121" s="10" t="n">
        <x:v>29856.22786</x:v>
      </x:c>
      <x:c r="U121" s="10" t="n">
        <x:v>36313.073999</x:v>
      </x:c>
      <x:c r="V121" s="10" t="n">
        <x:v>46144.463002</x:v>
      </x:c>
      <x:c r="W121" s="10" t="n">
        <x:v>48403.183</x:v>
      </x:c>
      <x:c r="X121" s="10" t="n">
        <x:v>51926.292001</x:v>
      </x:c>
      <x:c r="Y121" s="10" t="n">
        <x:v>56250.126</x:v>
      </x:c>
      <x:c r="Z121" s="10" t="n">
        <x:v>60956.391</x:v>
      </x:c>
      <x:c r="AA121" s="10" t="n">
        <x:v>49427.514999</x:v>
      </x:c>
      <x:c r="AB121" s="10" t="n">
        <x:v>64296.116589</x:v>
      </x:c>
      <x:c r="AC121" s="10" t="n">
        <x:v>68301.924599</x:v>
      </x:c>
      <x:c r="AD121" s="10" t="n">
        <x:v>64363.079739</x:v>
      </x:c>
      <x:c r="AE121" s="10" t="n">
        <x:f>IF(A121=B121,0,AVERAGE(E121:Q121))</x:f>
        <x:v>24979.406048307694</x:v>
      </x:c>
      <x:c r="AF121" s="10" t="n">
        <x:f>IF(A121=B121,0,AVERAGE(R121:AD121))</x:f>
        <x:v>48823.05443523076</x:v>
      </x:c>
      <x:c r="AG121" s="10" t="n">
        <x:f>AE121+AF121</x:f>
        <x:v>73802.46048353845</x:v>
      </x:c>
    </x:row>
    <x:row r="122">
      <x:c r="A122" t="str">
        <x:v>KR</x:v>
      </x:c>
      <x:c r="B122" t="str">
        <x:v>KR</x:v>
      </x:c>
      <x:c r="C122" t="str">
        <x:v>Korea, Republic of</x:v>
      </x:c>
      <x:c r="D122" t="str">
        <x:v>Korea, Republic of</x:v>
      </x:c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  <x:c r="AC122" s="10"/>
      <x:c r="AD122" s="10"/>
      <x:c r="AE122" s="10" t="n">
        <x:f>IF(A122=B122,0,AVERAGE(E122:Q122))</x:f>
        <x:v>0</x:v>
      </x:c>
      <x:c r="AF122" s="10" t="n">
        <x:f>IF(A122=B122,0,AVERAGE(R122:AD122))</x:f>
        <x:v>0</x:v>
      </x:c>
      <x:c r="AG122" s="10" t="n">
        <x:f>AE122+AF122</x:f>
        <x:v>0</x:v>
      </x:c>
    </x:row>
    <x:row r="123">
      <x:c r="A123" t="str">
        <x:v>KR</x:v>
      </x:c>
      <x:c r="B123" t="str">
        <x:v>NO</x:v>
      </x:c>
      <x:c r="C123" t="str">
        <x:v>Korea, Republic of</x:v>
      </x:c>
      <x:c r="D123" t="str">
        <x:v>Norway</x:v>
      </x:c>
      <x:c r="E123" s="10" t="n">
        <x:v>516.307452</x:v>
      </x:c>
      <x:c r="F123" s="10" t="n">
        <x:v>357.092783</x:v>
      </x:c>
      <x:c r="G123" s="10" t="n">
        <x:v>377.892372</x:v>
      </x:c>
      <x:c r="H123" s="10" t="n">
        <x:v>739.535</x:v>
      </x:c>
      <x:c r="I123" s="10" t="n">
        <x:v>322.592001</x:v>
      </x:c>
      <x:c r="J123" s="10" t="n">
        <x:v>468.384999</x:v>
      </x:c>
      <x:c r="K123" s="10" t="n">
        <x:v>850.524</x:v>
      </x:c>
      <x:c r="L123" s="10" t="n">
        <x:v>596.278</x:v>
      </x:c>
      <x:c r="M123" s="10" t="n">
        <x:v>2079.816</x:v>
      </x:c>
      <x:c r="N123" s="10" t="n">
        <x:v>1606.366999</x:v>
      </x:c>
      <x:c r="O123" s="10" t="n">
        <x:v>2801.14898</x:v>
      </x:c>
      <x:c r="P123" s="10" t="n">
        <x:v>666.48899</x:v>
      </x:c>
      <x:c r="Q123" s="10" t="n">
        <x:v>1061.736449</x:v>
      </x:c>
      <x:c r="R123" s="10" t="n">
        <x:v>421.824501</x:v>
      </x:c>
      <x:c r="S123" s="10" t="n">
        <x:v>401.728295</x:v>
      </x:c>
      <x:c r="T123" s="10" t="n">
        <x:v>609.777009</x:v>
      </x:c>
      <x:c r="U123" s="10" t="n">
        <x:v>537.988999</x:v>
      </x:c>
      <x:c r="V123" s="10" t="n">
        <x:v>560.310002</x:v>
      </x:c>
      <x:c r="W123" s="10" t="n">
        <x:v>638.797001</x:v>
      </x:c>
      <x:c r="X123" s="10" t="n">
        <x:v>856.75</x:v>
      </x:c>
      <x:c r="Y123" s="10" t="n">
        <x:v>1535.687</x:v>
      </x:c>
      <x:c r="Z123" s="10" t="n">
        <x:v>2202.471</x:v>
      </x:c>
      <x:c r="AA123" s="10" t="n">
        <x:v>2868.704</x:v>
      </x:c>
      <x:c r="AB123" s="10" t="n">
        <x:v>3673.17637</x:v>
      </x:c>
      <x:c r="AC123" s="10" t="n">
        <x:v>2594.780331</x:v>
      </x:c>
      <x:c r="AD123" s="10" t="n">
        <x:v>5094.366636</x:v>
      </x:c>
      <x:c r="AE123" s="10" t="n">
        <x:f>IF(A123=B123,0,AVERAGE(E123:Q123))</x:f>
        <x:v>957.2433865384616</x:v>
      </x:c>
      <x:c r="AF123" s="10" t="n">
        <x:f>IF(A123=B123,0,AVERAGE(R123:AD123))</x:f>
        <x:v>1692.027780307692</x:v>
      </x:c>
      <x:c r="AG123" s="10" t="n">
        <x:f>AE123+AF123</x:f>
        <x:v>2649.2711668461534</x:v>
      </x:c>
    </x:row>
    <x:row r="124">
      <x:c r="A124" t="str">
        <x:v>KR</x:v>
      </x:c>
      <x:c r="B124" t="str">
        <x:v>SG</x:v>
      </x:c>
      <x:c r="C124" t="str">
        <x:v>Korea, Republic of</x:v>
      </x:c>
      <x:c r="D124" t="str">
        <x:v>Singapore</x:v>
      </x:c>
      <x:c r="E124" s="10" t="n">
        <x:v>5648.189196</x:v>
      </x:c>
      <x:c r="F124" s="10" t="n">
        <x:v>4079.605384</x:v>
      </x:c>
      <x:c r="G124" s="10" t="n">
        <x:v>4221.559729</x:v>
      </x:c>
      <x:c r="H124" s="10" t="n">
        <x:v>4635.988001</x:v>
      </x:c>
      <x:c r="I124" s="10" t="n">
        <x:v>5653.507999</x:v>
      </x:c>
      <x:c r="J124" s="10" t="n">
        <x:v>7406.633999</x:v>
      </x:c>
      <x:c r="K124" s="10" t="n">
        <x:v>9489.299999</x:v>
      </x:c>
      <x:c r="L124" s="10" t="n">
        <x:v>11949.490999</x:v>
      </x:c>
      <x:c r="M124" s="10" t="n">
        <x:v>16292.971001</x:v>
      </x:c>
      <x:c r="N124" s="10" t="n">
        <x:v>13616.993998</x:v>
      </x:c>
      <x:c r="O124" s="10" t="n">
        <x:v>15244.201652</x:v>
      </x:c>
      <x:c r="P124" s="10" t="n">
        <x:v>20855.28619</x:v>
      </x:c>
      <x:c r="Q124" s="10" t="n">
        <x:v>22887.919074</x:v>
      </x:c>
      <x:c r="R124" s="10" t="n">
        <x:v>3722.866802</x:v>
      </x:c>
      <x:c r="S124" s="10" t="n">
        <x:v>3011.472711</x:v>
      </x:c>
      <x:c r="T124" s="10" t="n">
        <x:v>3430.069901</x:v>
      </x:c>
      <x:c r="U124" s="10" t="n">
        <x:v>4089.784</x:v>
      </x:c>
      <x:c r="V124" s="10" t="n">
        <x:v>4460.506</x:v>
      </x:c>
      <x:c r="W124" s="10" t="n">
        <x:v>5317.664999</x:v>
      </x:c>
      <x:c r="X124" s="10" t="n">
        <x:v>5886.68</x:v>
      </x:c>
      <x:c r="Y124" s="10" t="n">
        <x:v>6859.677002</x:v>
      </x:c>
      <x:c r="Z124" s="10" t="n">
        <x:v>8361.768999</x:v>
      </x:c>
      <x:c r="AA124" s="10" t="n">
        <x:v>7871.778999</x:v>
      </x:c>
      <x:c r="AB124" s="10" t="n">
        <x:v>7849.5297</x:v>
      </x:c>
      <x:c r="AC124" s="10" t="n">
        <x:v>8965.05715</x:v>
      </x:c>
      <x:c r="AD124" s="10" t="n">
        <x:v>9676.407753</x:v>
      </x:c>
      <x:c r="AE124" s="10" t="n">
        <x:f>IF(A124=B124,0,AVERAGE(E124:Q124))</x:f>
        <x:v>10921.665170846156</x:v>
      </x:c>
      <x:c r="AF124" s="10" t="n">
        <x:f>IF(A124=B124,0,AVERAGE(R124:AD124))</x:f>
        <x:v>6115.635693538462</x:v>
      </x:c>
      <x:c r="AG124" s="10" t="n">
        <x:f>AE124+AF124</x:f>
        <x:v>17037.30086438462</x:v>
      </x:c>
    </x:row>
    <x:row r="125">
      <x:c r="A125" t="str">
        <x:v>KR</x:v>
      </x:c>
      <x:c r="B125" t="str">
        <x:v>TR</x:v>
      </x:c>
      <x:c r="C125" t="str">
        <x:v>Korea, Republic of</x:v>
      </x:c>
      <x:c r="D125" t="str">
        <x:v>Türkiye, Republic of</x:v>
      </x:c>
      <x:c r="E125" s="10" t="n">
        <x:v>1206.539352</x:v>
      </x:c>
      <x:c r="F125" s="10" t="n">
        <x:v>697.084837</x:v>
      </x:c>
      <x:c r="G125" s="10" t="n">
        <x:v>865.920387</x:v>
      </x:c>
      <x:c r="H125" s="10" t="n">
        <x:v>1374.736</x:v>
      </x:c>
      <x:c r="I125" s="10" t="n">
        <x:v>2356.220999</x:v>
      </x:c>
      <x:c r="J125" s="10" t="n">
        <x:v>2782.025</x:v>
      </x:c>
      <x:c r="K125" s="10" t="n">
        <x:v>3035.803001</x:v>
      </x:c>
      <x:c r="L125" s="10" t="n">
        <x:v>4087.435999</x:v>
      </x:c>
      <x:c r="M125" s="10" t="n">
        <x:v>3772.57</x:v>
      </x:c>
      <x:c r="N125" s="10" t="n">
        <x:v>2660.688</x:v>
      </x:c>
      <x:c r="O125" s="10" t="n">
        <x:v>3752.906232</x:v>
      </x:c>
      <x:c r="P125" s="10" t="n">
        <x:v>5085.46289</x:v>
      </x:c>
      <x:c r="Q125" s="10" t="n">
        <x:v>4551.618439</x:v>
      </x:c>
      <x:c r="R125" s="10" t="n">
        <x:v>50.810899</x:v>
      </x:c>
      <x:c r="S125" s="10" t="n">
        <x:v>130.332284</x:v>
      </x:c>
      <x:c r="T125" s="10" t="n">
        <x:v>125.341701</x:v>
      </x:c>
      <x:c r="U125" s="10" t="n">
        <x:v>78.125999</x:v>
      </x:c>
      <x:c r="V125" s="10" t="n">
        <x:v>104.043999</x:v>
      </x:c>
      <x:c r="W125" s="10" t="n">
        <x:v>127.408</x:v>
      </x:c>
      <x:c r="X125" s="10" t="n">
        <x:v>194.332999</x:v>
      </x:c>
      <x:c r="Y125" s="10" t="n">
        <x:v>281.569999</x:v>
      </x:c>
      <x:c r="Z125" s="10" t="n">
        <x:v>361.913</x:v>
      </x:c>
      <x:c r="AA125" s="10" t="n">
        <x:v>434.435001</x:v>
      </x:c>
      <x:c r="AB125" s="10" t="n">
        <x:v>516.290293</x:v>
      </x:c>
      <x:c r="AC125" s="10" t="n">
        <x:v>804.492344</x:v>
      </x:c>
      <x:c r="AD125" s="10" t="n">
        <x:v>672.310995</x:v>
      </x:c>
      <x:c r="AE125" s="10" t="n">
        <x:f>IF(A125=B125,0,AVERAGE(E125:Q125))</x:f>
        <x:v>2786.8470104615385</x:v>
      </x:c>
      <x:c r="AF125" s="10" t="n">
        <x:f>IF(A125=B125,0,AVERAGE(R125:AD125))</x:f>
        <x:v>298.5698086923077</x:v>
      </x:c>
      <x:c r="AG125" s="10" t="n">
        <x:f>AE125+AF125</x:f>
        <x:v>3085.416819153846</x:v>
      </x:c>
    </x:row>
    <x:row r="126">
      <x:c r="A126" t="str">
        <x:v>KR</x:v>
      </x:c>
      <x:c r="B126" t="str">
        <x:v>US</x:v>
      </x:c>
      <x:c r="C126" t="str">
        <x:v>Korea, Republic of</x:v>
      </x:c>
      <x:c r="D126" t="str">
        <x:v>United States</x:v>
      </x:c>
      <x:c r="E126" s="10" t="n">
        <x:v>37806.079651</x:v>
      </x:c>
      <x:c r="F126" s="10" t="n">
        <x:v>31357.69935</x:v>
      </x:c>
      <x:c r="G126" s="10" t="n">
        <x:v>32942.739824</x:v>
      </x:c>
      <x:c r="H126" s="10" t="n">
        <x:v>34368.758</x:v>
      </x:c>
      <x:c r="I126" s="10" t="n">
        <x:v>43026.599999</x:v>
      </x:c>
      <x:c r="J126" s="10" t="n">
        <x:v>41499.55</x:v>
      </x:c>
      <x:c r="K126" s="10" t="n">
        <x:v>43320.558001</x:v>
      </x:c>
      <x:c r="L126" s="10" t="n">
        <x:v>45884.089998</x:v>
      </x:c>
      <x:c r="M126" s="10" t="n">
        <x:v>46500.925998</x:v>
      </x:c>
      <x:c r="N126" s="10" t="n">
        <x:v>37802.863002</x:v>
      </x:c>
      <x:c r="O126" s="10" t="n">
        <x:v>49991.897998</x:v>
      </x:c>
      <x:c r="P126" s="10" t="n">
        <x:v>56417.01163</x:v>
      </x:c>
      <x:c r="Q126" s="10" t="n">
        <x:v>58806.985196</x:v>
      </x:c>
      <x:c r="R126" s="10" t="n">
        <x:v>29286.0942</x:v>
      </x:c>
      <x:c r="S126" s="10" t="n">
        <x:v>22430.992012</x:v>
      </x:c>
      <x:c r="T126" s="10" t="n">
        <x:v>23111.288034</x:v>
      </x:c>
      <x:c r="U126" s="10" t="n">
        <x:v>24935.003</x:v>
      </x:c>
      <x:c r="V126" s="10" t="n">
        <x:v>28918.687001</x:v>
      </x:c>
      <x:c r="W126" s="10" t="n">
        <x:v>30787.535</x:v>
      </x:c>
      <x:c r="X126" s="10" t="n">
        <x:v>33796.693999</x:v>
      </x:c>
      <x:c r="Y126" s="10" t="n">
        <x:v>37393.437</x:v>
      </x:c>
      <x:c r="Z126" s="10" t="n">
        <x:v>38556.082</x:v>
      </x:c>
      <x:c r="AA126" s="10" t="n">
        <x:v>29160.621999</x:v>
      </x:c>
      <x:c r="AB126" s="10" t="n">
        <x:v>40588.739068</x:v>
      </x:c>
      <x:c r="AC126" s="10" t="n">
        <x:v>44815.844463</x:v>
      </x:c>
      <x:c r="AD126" s="10" t="n">
        <x:v>43654.331719</x:v>
      </x:c>
      <x:c r="AE126" s="10" t="n">
        <x:f>IF(A126=B126,0,AVERAGE(E126:Q126))</x:f>
        <x:v>43055.827588230786</x:v>
      </x:c>
      <x:c r="AF126" s="10" t="n">
        <x:f>IF(A126=B126,0,AVERAGE(R126:AD126))</x:f>
        <x:v>32879.64226884615</x:v>
      </x:c>
      <x:c r="AG126" s="10" t="n">
        <x:f>AE126+AF126</x:f>
        <x:v>75935.46985707694</x:v>
      </x:c>
    </x:row>
    <x:row r="127">
      <x:c r="A127" t="str">
        <x:v>KR</x:v>
      </x:c>
      <x:c r="B127" t="str">
        <x:v>ZA</x:v>
      </x:c>
      <x:c r="C127" t="str">
        <x:v>Korea, Republic of</x:v>
      </x:c>
      <x:c r="D127" t="str">
        <x:v>South Africa</x:v>
      </x:c>
      <x:c r="E127" s="10" t="n">
        <x:v>494.872692</x:v>
      </x:c>
      <x:c r="F127" s="10" t="n">
        <x:v>422.93323</x:v>
      </x:c>
      <x:c r="G127" s="10" t="n">
        <x:v>394.491074</x:v>
      </x:c>
      <x:c r="H127" s="10" t="n">
        <x:v>530.185</x:v>
      </x:c>
      <x:c r="I127" s="10" t="n">
        <x:v>959.433002</x:v>
      </x:c>
      <x:c r="J127" s="10" t="n">
        <x:v>1319.522</x:v>
      </x:c>
      <x:c r="K127" s="10" t="n">
        <x:v>1794.231</x:v>
      </x:c>
      <x:c r="L127" s="10" t="n">
        <x:v>1752.811</x:v>
      </x:c>
      <x:c r="M127" s="10" t="n">
        <x:v>1397.158001</x:v>
      </x:c>
      <x:c r="N127" s="10" t="n">
        <x:v>1082.071002</x:v>
      </x:c>
      <x:c r="O127" s="10" t="n">
        <x:v>1668.190941</x:v>
      </x:c>
      <x:c r="P127" s="10" t="n">
        <x:v>2256.339297</x:v>
      </x:c>
      <x:c r="Q127" s="10" t="n">
        <x:v>2188.273054</x:v>
      </x:c>
      <x:c r="R127" s="10" t="n">
        <x:v>940.1776</x:v>
      </x:c>
      <x:c r="S127" s="10" t="n">
        <x:v>688.608996</x:v>
      </x:c>
      <x:c r="T127" s="10" t="n">
        <x:v>603.13747</x:v>
      </x:c>
      <x:c r="U127" s="10" t="n">
        <x:v>781.63</x:v>
      </x:c>
      <x:c r="V127" s="10" t="n">
        <x:v>998.874</x:v>
      </x:c>
      <x:c r="W127" s="10" t="n">
        <x:v>1094.293001</x:v>
      </x:c>
      <x:c r="X127" s="10" t="n">
        <x:v>1385.062999</x:v>
      </x:c>
      <x:c r="Y127" s="10" t="n">
        <x:v>1766.544</x:v>
      </x:c>
      <x:c r="Z127" s="10" t="n">
        <x:v>2159.24</x:v>
      </x:c>
      <x:c r="AA127" s="10" t="n">
        <x:v>1171.788</x:v>
      </x:c>
      <x:c r="AB127" s="10" t="n">
        <x:v>2272.294826</x:v>
      </x:c>
      <x:c r="AC127" s="10" t="n">
        <x:v>3105.952107</x:v>
      </x:c>
      <x:c r="AD127" s="10" t="n">
        <x:v>2128.946644</x:v>
      </x:c>
      <x:c r="AE127" s="10" t="n">
        <x:f>IF(A127=B127,0,AVERAGE(E127:Q127))</x:f>
        <x:v>1250.808561</x:v>
      </x:c>
      <x:c r="AF127" s="10" t="n">
        <x:f>IF(A127=B127,0,AVERAGE(R127:AD127))</x:f>
        <x:v>1468.965357153846</x:v>
      </x:c>
      <x:c r="AG127" s="10" t="n">
        <x:f>AE127+AF127</x:f>
        <x:v>2719.7739181538464</x:v>
      </x:c>
    </x:row>
    <x:row r="128">
      <x:c r="A128" t="str">
        <x:v>NO</x:v>
      </x:c>
      <x:c r="B128" t="str">
        <x:v>AU</x:v>
      </x:c>
      <x:c r="C128" t="str">
        <x:v>Norway</x:v>
      </x:c>
      <x:c r="D128" t="str">
        <x:v>Australia</x:v>
      </x:c>
      <x:c r="E128" s="10" t="n">
        <x:v>82.010511</x:v>
      </x:c>
      <x:c r="F128" s="10" t="n">
        <x:v>106.925051</x:v>
      </x:c>
      <x:c r="G128" s="10" t="n">
        <x:v>142.605481</x:v>
      </x:c>
      <x:c r="H128" s="10" t="n">
        <x:v>144.249586</x:v>
      </x:c>
      <x:c r="I128" s="10" t="n">
        <x:v>153.69993</x:v>
      </x:c>
      <x:c r="J128" s="10" t="n">
        <x:v>191.548977</x:v>
      </x:c>
      <x:c r="K128" s="10" t="n">
        <x:v>193.734842</x:v>
      </x:c>
      <x:c r="L128" s="10" t="n">
        <x:v>286.421379</x:v>
      </x:c>
      <x:c r="M128" s="10" t="n">
        <x:v>251.278291</x:v>
      </x:c>
      <x:c r="N128" s="10" t="n">
        <x:v>213.209177</x:v>
      </x:c>
      <x:c r="O128" s="10" t="n">
        <x:v>238.714401</x:v>
      </x:c>
      <x:c r="P128" s="10" t="n">
        <x:v>267.456755</x:v>
      </x:c>
      <x:c r="Q128" s="10" t="n">
        <x:v>399.011491</x:v>
      </x:c>
      <x:c r="R128" s="10" t="n">
        <x:v>61.449676</x:v>
      </x:c>
      <x:c r="S128" s="10" t="n">
        <x:v>104.225832</x:v>
      </x:c>
      <x:c r="T128" s="10" t="n">
        <x:v>44.740071</x:v>
      </x:c>
      <x:c r="U128" s="10" t="n">
        <x:v>67.681756</x:v>
      </x:c>
      <x:c r="V128" s="10" t="n">
        <x:v>77.512934</x:v>
      </x:c>
      <x:c r="W128" s="10" t="n">
        <x:v>82.81129</x:v>
      </x:c>
      <x:c r="X128" s="10" t="n">
        <x:v>95.564831</x:v>
      </x:c>
      <x:c r="Y128" s="10" t="n">
        <x:v>160.419139</x:v>
      </x:c>
      <x:c r="Z128" s="10" t="n">
        <x:v>243.232588</x:v>
      </x:c>
      <x:c r="AA128" s="10" t="n">
        <x:v>95.461945</x:v>
      </x:c>
      <x:c r="AB128" s="10" t="n">
        <x:v>101.960686</x:v>
      </x:c>
      <x:c r="AC128" s="10" t="n">
        <x:v>101.819198</x:v>
      </x:c>
      <x:c r="AD128" s="10" t="n">
        <x:v>125.511219</x:v>
      </x:c>
      <x:c r="AE128" s="10" t="n">
        <x:f>IF(A128=B128,0,AVERAGE(E128:Q128))</x:f>
        <x:v>205.45122092307696</x:v>
      </x:c>
      <x:c r="AF128" s="10" t="n">
        <x:f>IF(A128=B128,0,AVERAGE(R128:AD128))</x:f>
        <x:v>104.79932038461537</x:v>
      </x:c>
      <x:c r="AG128" s="10" t="n">
        <x:f>AE128+AF128</x:f>
        <x:v>310.25054130769234</x:v>
      </x:c>
    </x:row>
    <x:row r="129">
      <x:c r="A129" t="str">
        <x:v>NO</x:v>
      </x:c>
      <x:c r="B129" t="str">
        <x:v>BR</x:v>
      </x:c>
      <x:c r="C129" t="str">
        <x:v>Norway</x:v>
      </x:c>
      <x:c r="D129" t="str">
        <x:v>Brazil</x:v>
      </x:c>
      <x:c r="E129" s="10" t="n">
        <x:v>170.493044</x:v>
      </x:c>
      <x:c r="F129" s="10" t="n">
        <x:v>174.563605</x:v>
      </x:c>
      <x:c r="G129" s="10" t="n">
        <x:v>217.674104</x:v>
      </x:c>
      <x:c r="H129" s="10" t="n">
        <x:v>253.108054</x:v>
      </x:c>
      <x:c r="I129" s="10" t="n">
        <x:v>303.017764</x:v>
      </x:c>
      <x:c r="J129" s="10" t="n">
        <x:v>407.535336</x:v>
      </x:c>
      <x:c r="K129" s="10" t="n">
        <x:v>314.51187</x:v>
      </x:c>
      <x:c r="L129" s="10" t="n">
        <x:v>475.814114</x:v>
      </x:c>
      <x:c r="M129" s="10" t="n">
        <x:v>620.47177</x:v>
      </x:c>
      <x:c r="N129" s="10" t="n">
        <x:v>494.654619</x:v>
      </x:c>
      <x:c r="O129" s="10" t="n">
        <x:v>950.375339</x:v>
      </x:c>
      <x:c r="P129" s="10" t="n">
        <x:v>850.989606</x:v>
      </x:c>
      <x:c r="Q129" s="10" t="n">
        <x:v>900.233624</x:v>
      </x:c>
      <x:c r="R129" s="10" t="n">
        <x:v>265.994127</x:v>
      </x:c>
      <x:c r="S129" s="10" t="n">
        <x:v>254.677977</x:v>
      </x:c>
      <x:c r="T129" s="10" t="n">
        <x:v>206.059347</x:v>
      </x:c>
      <x:c r="U129" s="10" t="n">
        <x:v>350.349164</x:v>
      </x:c>
      <x:c r="V129" s="10" t="n">
        <x:v>391.641701</x:v>
      </x:c>
      <x:c r="W129" s="10" t="n">
        <x:v>513.733372</x:v>
      </x:c>
      <x:c r="X129" s="10" t="n">
        <x:v>621.261078</x:v>
      </x:c>
      <x:c r="Y129" s="10" t="n">
        <x:v>853.187004</x:v>
      </x:c>
      <x:c r="Z129" s="10" t="n">
        <x:v>1131.475771</x:v>
      </x:c>
      <x:c r="AA129" s="10" t="n">
        <x:v>845.226223</x:v>
      </x:c>
      <x:c r="AB129" s="10" t="n">
        <x:v>1049.226542</x:v>
      </x:c>
      <x:c r="AC129" s="10" t="n">
        <x:v>1369.673706</x:v>
      </x:c>
      <x:c r="AD129" s="10" t="n">
        <x:v>1452.939174</x:v>
      </x:c>
      <x:c r="AE129" s="10" t="n">
        <x:f>IF(A129=B129,0,AVERAGE(E129:Q129))</x:f>
        <x:v>471.8032960769232</x:v>
      </x:c>
      <x:c r="AF129" s="10" t="n">
        <x:f>IF(A129=B129,0,AVERAGE(R129:AD129))</x:f>
        <x:v>715.8034758461539</x:v>
      </x:c>
      <x:c r="AG129" s="10" t="n">
        <x:f>AE129+AF129</x:f>
        <x:v>1187.606771923077</x:v>
      </x:c>
    </x:row>
    <x:row r="130">
      <x:c r="A130" t="str">
        <x:v>NO</x:v>
      </x:c>
      <x:c r="B130" t="str">
        <x:v>CA</x:v>
      </x:c>
      <x:c r="C130" t="str">
        <x:v>Norway</x:v>
      </x:c>
      <x:c r="D130" t="str">
        <x:v>Canada</x:v>
      </x:c>
      <x:c r="E130" s="10" t="n">
        <x:v>3391.009811</x:v>
      </x:c>
      <x:c r="F130" s="10" t="n">
        <x:v>2414.179385</x:v>
      </x:c>
      <x:c r="G130" s="10" t="n">
        <x:v>2167.704573</x:v>
      </x:c>
      <x:c r="H130" s="10" t="n">
        <x:v>2497.973741</x:v>
      </x:c>
      <x:c r="I130" s="10" t="n">
        <x:v>3271.679356</x:v>
      </x:c>
      <x:c r="J130" s="10" t="n">
        <x:v>3927.090219</x:v>
      </x:c>
      <x:c r="K130" s="10" t="n">
        <x:v>3784.338529</x:v>
      </x:c>
      <x:c r="L130" s="10" t="n">
        <x:v>3989.877612</x:v>
      </x:c>
      <x:c r="M130" s="10" t="n">
        <x:v>4038.744192</x:v>
      </x:c>
      <x:c r="N130" s="10" t="n">
        <x:v>2621.022791</x:v>
      </x:c>
      <x:c r="O130" s="10" t="n">
        <x:v>2194.79878</x:v>
      </x:c>
      <x:c r="P130" s="10" t="n">
        <x:v>2601.033527</x:v>
      </x:c>
      <x:c r="Q130" s="10" t="n">
        <x:v>766.647219</x:v>
      </x:c>
      <x:c r="R130" s="10" t="n">
        <x:v>867.433816</x:v>
      </x:c>
      <x:c r="S130" s="10" t="n">
        <x:v>872.117603</x:v>
      </x:c>
      <x:c r="T130" s="10" t="n">
        <x:v>723.281116</x:v>
      </x:c>
      <x:c r="U130" s="10" t="n">
        <x:v>810.896275</x:v>
      </x:c>
      <x:c r="V130" s="10" t="n">
        <x:v>1136.817304</x:v>
      </x:c>
      <x:c r="W130" s="10" t="n">
        <x:v>1409.8062</x:v>
      </x:c>
      <x:c r="X130" s="10" t="n">
        <x:v>1724.377822</x:v>
      </x:c>
      <x:c r="Y130" s="10" t="n">
        <x:v>3415.147776</x:v>
      </x:c>
      <x:c r="Z130" s="10" t="n">
        <x:v>2558.798515</x:v>
      </x:c>
      <x:c r="AA130" s="10" t="n">
        <x:v>1518.399777</x:v>
      </x:c>
      <x:c r="AB130" s="10" t="n">
        <x:v>2483.804962</x:v>
      </x:c>
      <x:c r="AC130" s="10" t="n">
        <x:v>3715.96925</x:v>
      </x:c>
      <x:c r="AD130" s="10" t="n">
        <x:v>2506.909548</x:v>
      </x:c>
      <x:c r="AE130" s="10" t="n">
        <x:f>IF(A130=B130,0,AVERAGE(E130:Q130))</x:f>
        <x:v>2897.3922873076926</x:v>
      </x:c>
      <x:c r="AF130" s="10" t="n">
        <x:f>IF(A130=B130,0,AVERAGE(R130:AD130))</x:f>
        <x:v>1826.4430741538463</x:v>
      </x:c>
      <x:c r="AG130" s="10" t="n">
        <x:f>AE130+AF130</x:f>
        <x:v>4723.835361461539</x:v>
      </x:c>
    </x:row>
    <x:row r="131">
      <x:c r="A131" t="str">
        <x:v>NO</x:v>
      </x:c>
      <x:c r="B131" t="str">
        <x:v>CH</x:v>
      </x:c>
      <x:c r="C131" t="str">
        <x:v>Norway</x:v>
      </x:c>
      <x:c r="D131" t="str">
        <x:v>Switzerland</x:v>
      </x:c>
      <x:c r="E131" s="10" t="n">
        <x:v>199.827595</x:v>
      </x:c>
      <x:c r="F131" s="10" t="n">
        <x:v>217.928016</x:v>
      </x:c>
      <x:c r="G131" s="10" t="n">
        <x:v>260.26587</x:v>
      </x:c>
      <x:c r="H131" s="10" t="n">
        <x:v>251.777142</x:v>
      </x:c>
      <x:c r="I131" s="10" t="n">
        <x:v>248.019338</x:v>
      </x:c>
      <x:c r="J131" s="10" t="n">
        <x:v>281.64718</x:v>
      </x:c>
      <x:c r="K131" s="10" t="n">
        <x:v>335.910766</x:v>
      </x:c>
      <x:c r="L131" s="10" t="n">
        <x:v>920.513051</x:v>
      </x:c>
      <x:c r="M131" s="10" t="n">
        <x:v>1075.832894</x:v>
      </x:c>
      <x:c r="N131" s="10" t="n">
        <x:v>724.494952</x:v>
      </x:c>
      <x:c r="O131" s="10" t="n">
        <x:v>808.95443</x:v>
      </x:c>
      <x:c r="P131" s="10" t="n">
        <x:v>941.568637</x:v>
      </x:c>
      <x:c r="Q131" s="10" t="n">
        <x:v>767.023293</x:v>
      </x:c>
      <x:c r="R131" s="10" t="n">
        <x:v>383.723754</x:v>
      </x:c>
      <x:c r="S131" s="10" t="n">
        <x:v>426.846215</x:v>
      </x:c>
      <x:c r="T131" s="10" t="n">
        <x:v>455.10261</x:v>
      </x:c>
      <x:c r="U131" s="10" t="n">
        <x:v>465.279894</x:v>
      </x:c>
      <x:c r="V131" s="10" t="n">
        <x:v>504.648271</x:v>
      </x:c>
      <x:c r="W131" s="10" t="n">
        <x:v>582.065569</x:v>
      </x:c>
      <x:c r="X131" s="10" t="n">
        <x:v>715.085153</x:v>
      </x:c>
      <x:c r="Y131" s="10" t="n">
        <x:v>863.67114</x:v>
      </x:c>
      <x:c r="Z131" s="10" t="n">
        <x:v>978.351936</x:v>
      </x:c>
      <x:c r="AA131" s="10" t="n">
        <x:v>768.545804</x:v>
      </x:c>
      <x:c r="AB131" s="10" t="n">
        <x:v>803.133795</x:v>
      </x:c>
      <x:c r="AC131" s="10" t="n">
        <x:v>1037.694092</x:v>
      </x:c>
      <x:c r="AD131" s="10" t="n">
        <x:v>1227.588103</x:v>
      </x:c>
      <x:c r="AE131" s="10" t="n">
        <x:f>IF(A131=B131,0,AVERAGE(E131:Q131))</x:f>
        <x:v>541.0587049230769</x:v>
      </x:c>
      <x:c r="AF131" s="10" t="n">
        <x:f>IF(A131=B131,0,AVERAGE(R131:AD131))</x:f>
        <x:v>708.5951027692307</x:v>
      </x:c>
      <x:c r="AG131" s="10" t="n">
        <x:f>AE131+AF131</x:f>
        <x:v>1249.6538076923075</x:v>
      </x:c>
    </x:row>
    <x:row r="132">
      <x:c r="A132" t="str">
        <x:v>NO</x:v>
      </x:c>
      <x:c r="B132" t="str">
        <x:v>CN</x:v>
      </x:c>
      <x:c r="C132" t="str">
        <x:v>Norway</x:v>
      </x:c>
      <x:c r="D132" t="str">
        <x:v>China, People's Republic of</x:v>
      </x:c>
      <x:c r="E132" s="10" t="n">
        <x:v>250.801819</x:v>
      </x:c>
      <x:c r="F132" s="10" t="n">
        <x:v>665.782321</x:v>
      </x:c>
      <x:c r="G132" s="10" t="n">
        <x:v>930.639673</x:v>
      </x:c>
      <x:c r="H132" s="10" t="n">
        <x:v>869.951286</x:v>
      </x:c>
      <x:c r="I132" s="10" t="n">
        <x:v>907.65409</x:v>
      </x:c>
      <x:c r="J132" s="10" t="n">
        <x:v>905.424626</x:v>
      </x:c>
      <x:c r="K132" s="10" t="n">
        <x:v>1706.68372</x:v>
      </x:c>
      <x:c r="L132" s="10" t="n">
        <x:v>1609.53528</x:v>
      </x:c>
      <x:c r="M132" s="10" t="n">
        <x:v>1882.097236</x:v>
      </x:c>
      <x:c r="N132" s="10" t="n">
        <x:v>2433.052451</x:v>
      </x:c>
      <x:c r="O132" s="10" t="n">
        <x:v>2240.842766</x:v>
      </x:c>
      <x:c r="P132" s="10" t="n">
        <x:v>2921.345034</x:v>
      </x:c>
      <x:c r="Q132" s="10" t="n">
        <x:v>2387.419883</x:v>
      </x:c>
      <x:c r="R132" s="10" t="n">
        <x:v>985.408098</x:v>
      </x:c>
      <x:c r="S132" s="10" t="n">
        <x:v>990.677383</x:v>
      </x:c>
      <x:c r="T132" s="10" t="n">
        <x:v>1267.209738</x:v>
      </x:c>
      <x:c r="U132" s="10" t="n">
        <x:v>1750.588729</x:v>
      </x:c>
      <x:c r="V132" s="10" t="n">
        <x:v>2410.609554</x:v>
      </x:c>
      <x:c r="W132" s="10" t="n">
        <x:v>3109.004085</x:v>
      </x:c>
      <x:c r="X132" s="10" t="n">
        <x:v>3658.658586</x:v>
      </x:c>
      <x:c r="Y132" s="10" t="n">
        <x:v>4857.103746</x:v>
      </x:c>
      <x:c r="Z132" s="10" t="n">
        <x:v>5692.49153</x:v>
      </x:c>
      <x:c r="AA132" s="10" t="n">
        <x:v>5343.587559</x:v>
      </x:c>
      <x:c r="AB132" s="10" t="n">
        <x:v>6574.406999</x:v>
      </x:c>
      <x:c r="AC132" s="10" t="n">
        <x:v>8279.10971</x:v>
      </x:c>
      <x:c r="AD132" s="10" t="n">
        <x:v>8075.521996</x:v>
      </x:c>
      <x:c r="AE132" s="10" t="n">
        <x:f>IF(A132=B132,0,AVERAGE(E132:Q132))</x:f>
        <x:v>1516.2484757692305</x:v>
      </x:c>
      <x:c r="AF132" s="10" t="n">
        <x:f>IF(A132=B132,0,AVERAGE(R132:AD132))</x:f>
        <x:v>4076.4905933076925</x:v>
      </x:c>
      <x:c r="AG132" s="10" t="n">
        <x:f>AE132+AF132</x:f>
        <x:v>5592.7390690769225</x:v>
      </x:c>
    </x:row>
    <x:row r="133">
      <x:c r="A133" t="str">
        <x:v>NO</x:v>
      </x:c>
      <x:c r="B133" t="str">
        <x:v>EA</x:v>
      </x:c>
      <x:c r="C133" t="str">
        <x:v>Norway</x:v>
      </x:c>
      <x:c r="D133" t="str">
        <x:v>Euro Area (EA)</x:v>
      </x:c>
      <x:c r="E133" s="10" t="n">
        <x:v>24935.716535</x:v>
      </x:c>
      <x:c r="F133" s="10" t="n">
        <x:v>26690.974805</x:v>
      </x:c>
      <x:c r="G133" s="10" t="n">
        <x:v>27570.292973</x:v>
      </x:c>
      <x:c r="H133" s="10" t="n">
        <x:v>29838.704601</x:v>
      </x:c>
      <x:c r="I133" s="10" t="n">
        <x:v>36321.243838</x:v>
      </x:c>
      <x:c r="J133" s="10" t="n">
        <x:v>45835.277957</x:v>
      </x:c>
      <x:c r="K133" s="10" t="n">
        <x:v>53408.035955</x:v>
      </x:c>
      <x:c r="L133" s="10" t="n">
        <x:v>58300.906144</x:v>
      </x:c>
      <x:c r="M133" s="10" t="n">
        <x:v>75927.701769</x:v>
      </x:c>
      <x:c r="N133" s="10" t="n">
        <x:v>51562.821483</x:v>
      </x:c>
      <x:c r="O133" s="10" t="n">
        <x:v>53099.019285</x:v>
      </x:c>
      <x:c r="P133" s="10" t="n">
        <x:v>64327.17326</x:v>
      </x:c>
      <x:c r="Q133" s="10" t="n">
        <x:v>66948.855661</x:v>
      </x:c>
      <x:c r="R133" s="10" t="n">
        <x:v>11553.319139</x:v>
      </x:c>
      <x:c r="S133" s="10" t="n">
        <x:v>11932.059594</x:v>
      </x:c>
      <x:c r="T133" s="10" t="n">
        <x:v>13093.061845</x:v>
      </x:c>
      <x:c r="U133" s="10" t="n">
        <x:v>14931.883403</x:v>
      </x:c>
      <x:c r="V133" s="10" t="n">
        <x:v>18558.059639</x:v>
      </x:c>
      <x:c r="W133" s="10" t="n">
        <x:v>20632.340049</x:v>
      </x:c>
      <x:c r="X133" s="10" t="n">
        <x:v>23831.831632</x:v>
      </x:c>
      <x:c r="Y133" s="10" t="n">
        <x:v>29603.994852</x:v>
      </x:c>
      <x:c r="Z133" s="10" t="n">
        <x:v>32559.496656</x:v>
      </x:c>
      <x:c r="AA133" s="10" t="n">
        <x:v>23594.767258</x:v>
      </x:c>
      <x:c r="AB133" s="10" t="n">
        <x:v>25200.409179</x:v>
      </x:c>
      <x:c r="AC133" s="10" t="n">
        <x:v>29837.666015</x:v>
      </x:c>
      <x:c r="AD133" s="10" t="n">
        <x:v>29111.187917</x:v>
      </x:c>
      <x:c r="AE133" s="10" t="n">
        <x:f>IF(A133=B133,0,AVERAGE(E133:Q133))</x:f>
        <x:v>47289.748020461535</x:v>
      </x:c>
      <x:c r="AF133" s="10" t="n">
        <x:f>IF(A133=B133,0,AVERAGE(R133:AD133))</x:f>
        <x:v>21880.00593676923</x:v>
      </x:c>
      <x:c r="AG133" s="10" t="n">
        <x:f>AE133+AF133</x:f>
        <x:v>69169.75395723077</x:v>
      </x:c>
    </x:row>
    <x:row r="134">
      <x:c r="A134" t="str">
        <x:v>NO</x:v>
      </x:c>
      <x:c r="B134" t="str">
        <x:v>UK</x:v>
      </x:c>
      <x:c r="C134" t="str">
        <x:v>Norway</x:v>
      </x:c>
      <x:c r="D134" t="str">
        <x:v>United Kingdom</x:v>
      </x:c>
      <x:c r="E134" s="10" t="n">
        <x:v>12179.16939</x:v>
      </x:c>
      <x:c r="F134" s="10" t="n">
        <x:v>11396.979074</x:v>
      </x:c>
      <x:c r="G134" s="10" t="n">
        <x:v>11701.0122</x:v>
      </x:c>
      <x:c r="H134" s="10" t="n">
        <x:v>14514.04871</x:v>
      </x:c>
      <x:c r="I134" s="10" t="n">
        <x:v>18406.783131</x:v>
      </x:c>
      <x:c r="J134" s="10" t="n">
        <x:v>25996.911638</x:v>
      </x:c>
      <x:c r="K134" s="10" t="n">
        <x:v>32726.818926</x:v>
      </x:c>
      <x:c r="L134" s="10" t="n">
        <x:v>35842.635276</x:v>
      </x:c>
      <x:c r="M134" s="10" t="n">
        <x:v>46749.449876</x:v>
      </x:c>
      <x:c r="N134" s="10" t="n">
        <x:v>27173.118871</x:v>
      </x:c>
      <x:c r="O134" s="10" t="n">
        <x:v>35880.915827</x:v>
      </x:c>
      <x:c r="P134" s="10" t="n">
        <x:v>45045.160648</x:v>
      </x:c>
      <x:c r="Q134" s="10" t="n">
        <x:v>42663.026148</x:v>
      </x:c>
      <x:c r="R134" s="10" t="n">
        <x:v>2739.524547</x:v>
      </x:c>
      <x:c r="S134" s="10" t="n">
        <x:v>2515.477983</x:v>
      </x:c>
      <x:c r="T134" s="10" t="n">
        <x:v>2512.747001</x:v>
      </x:c>
      <x:c r="U134" s="10" t="n">
        <x:v>2869.312368</x:v>
      </x:c>
      <x:c r="V134" s="10" t="n">
        <x:v>3155.693626</x:v>
      </x:c>
      <x:c r="W134" s="10" t="n">
        <x:v>4033.093092</x:v>
      </x:c>
      <x:c r="X134" s="10" t="n">
        <x:v>4109.525131</x:v>
      </x:c>
      <x:c r="Y134" s="10" t="n">
        <x:v>5530.27134</x:v>
      </x:c>
      <x:c r="Z134" s="10" t="n">
        <x:v>5286.70077</x:v>
      </x:c>
      <x:c r="AA134" s="10" t="n">
        <x:v>4089.120727</x:v>
      </x:c>
      <x:c r="AB134" s="10" t="n">
        <x:v>4580.150353</x:v>
      </x:c>
      <x:c r="AC134" s="10" t="n">
        <x:v>5072.581901</x:v>
      </x:c>
      <x:c r="AD134" s="10" t="n">
        <x:v>5347.344722</x:v>
      </x:c>
      <x:c r="AE134" s="10" t="n">
        <x:f>IF(A134=B134,0,AVERAGE(E134:Q134))</x:f>
        <x:v>27713.540747307692</x:v>
      </x:c>
      <x:c r="AF134" s="10" t="n">
        <x:f>IF(A134=B134,0,AVERAGE(R134:AD134))</x:f>
        <x:v>3987.8110431538453</x:v>
      </x:c>
      <x:c r="AG134" s="10" t="n">
        <x:f>AE134+AF134</x:f>
        <x:v>31701.351790461536</x:v>
      </x:c>
    </x:row>
    <x:row r="135">
      <x:c r="A135" t="str">
        <x:v>NO</x:v>
      </x:c>
      <x:c r="B135" t="str">
        <x:v>JP</x:v>
      </x:c>
      <x:c r="C135" t="str">
        <x:v>Norway</x:v>
      </x:c>
      <x:c r="D135" t="str">
        <x:v>Japan</x:v>
      </x:c>
      <x:c r="E135" s="10" t="n">
        <x:v>984.072861</x:v>
      </x:c>
      <x:c r="F135" s="10" t="n">
        <x:v>886.171695</x:v>
      </x:c>
      <x:c r="G135" s="10" t="n">
        <x:v>1002.14148</x:v>
      </x:c>
      <x:c r="H135" s="10" t="n">
        <x:v>972.994389</x:v>
      </x:c>
      <x:c r="I135" s="10" t="n">
        <x:v>1023.904207</x:v>
      </x:c>
      <x:c r="J135" s="10" t="n">
        <x:v>1016.452219</x:v>
      </x:c>
      <x:c r="K135" s="10" t="n">
        <x:v>1192.536196</x:v>
      </x:c>
      <x:c r="L135" s="10" t="n">
        <x:v>1318.56706</x:v>
      </x:c>
      <x:c r="M135" s="10" t="n">
        <x:v>1421.061105</x:v>
      </x:c>
      <x:c r="N135" s="10" t="n">
        <x:v>1276.126754</x:v>
      </x:c>
      <x:c r="O135" s="10" t="n">
        <x:v>1586.977981</x:v>
      </x:c>
      <x:c r="P135" s="10" t="n">
        <x:v>1839.777683</x:v>
      </x:c>
      <x:c r="Q135" s="10" t="n">
        <x:v>1512.88401</x:v>
      </x:c>
      <x:c r="R135" s="10" t="n">
        <x:v>1172.140247</x:v>
      </x:c>
      <x:c r="S135" s="10" t="n">
        <x:v>1004.571265</x:v>
      </x:c>
      <x:c r="T135" s="10" t="n">
        <x:v>1065.795858</x:v>
      </x:c>
      <x:c r="U135" s="10" t="n">
        <x:v>1445.453402</x:v>
      </x:c>
      <x:c r="V135" s="10" t="n">
        <x:v>1642.134543</x:v>
      </x:c>
      <x:c r="W135" s="10" t="n">
        <x:v>1759.733443</x:v>
      </x:c>
      <x:c r="X135" s="10" t="n">
        <x:v>1728.4892</x:v>
      </x:c>
      <x:c r="Y135" s="10" t="n">
        <x:v>1772.075798</x:v>
      </x:c>
      <x:c r="Z135" s="10" t="n">
        <x:v>1967.520945</x:v>
      </x:c>
      <x:c r="AA135" s="10" t="n">
        <x:v>1700.374679</x:v>
      </x:c>
      <x:c r="AB135" s="10" t="n">
        <x:v>1695.346446</x:v>
      </x:c>
      <x:c r="AC135" s="10" t="n">
        <x:v>1971.392099</x:v>
      </x:c>
      <x:c r="AD135" s="10" t="n">
        <x:v>2047.89617</x:v>
      </x:c>
      <x:c r="AE135" s="10" t="n">
        <x:f>IF(A135=B135,0,AVERAGE(E135:Q135))</x:f>
        <x:v>1233.3590492307694</x:v>
      </x:c>
      <x:c r="AF135" s="10" t="n">
        <x:f>IF(A135=B135,0,AVERAGE(R135:AD135))</x:f>
        <x:v>1613.3018534615387</x:v>
      </x:c>
      <x:c r="AG135" s="10" t="n">
        <x:f>AE135+AF135</x:f>
        <x:v>2846.660902692308</x:v>
      </x:c>
    </x:row>
    <x:row r="136">
      <x:c r="A136" t="str">
        <x:v>NO</x:v>
      </x:c>
      <x:c r="B136" t="str">
        <x:v>KR</x:v>
      </x:c>
      <x:c r="C136" t="str">
        <x:v>Norway</x:v>
      </x:c>
      <x:c r="D136" t="str">
        <x:v>Korea, Republic of</x:v>
      </x:c>
      <x:c r="E136" s="10" t="n">
        <x:v>439.828835</x:v>
      </x:c>
      <x:c r="F136" s="10" t="n">
        <x:v>368.56387</x:v>
      </x:c>
      <x:c r="G136" s="10" t="n">
        <x:v>600.655006</x:v>
      </x:c>
      <x:c r="H136" s="10" t="n">
        <x:v>500.73904</x:v>
      </x:c>
      <x:c r="I136" s="10" t="n">
        <x:v>736.360493</x:v>
      </x:c>
      <x:c r="J136" s="10" t="n">
        <x:v>787.68979</x:v>
      </x:c>
      <x:c r="K136" s="10" t="n">
        <x:v>738.582391</x:v>
      </x:c>
      <x:c r="L136" s="10" t="n">
        <x:v>1225.546193</x:v>
      </x:c>
      <x:c r="M136" s="10" t="n">
        <x:v>1608.982973</x:v>
      </x:c>
      <x:c r="N136" s="10" t="n">
        <x:v>2319.642366</x:v>
      </x:c>
      <x:c r="O136" s="10" t="n">
        <x:v>2028.030882</x:v>
      </x:c>
      <x:c r="P136" s="10" t="n">
        <x:v>1580.987539</x:v>
      </x:c>
      <x:c r="Q136" s="10" t="n">
        <x:v>4462.041383</x:v>
      </x:c>
      <x:c r="R136" s="10" t="n">
        <x:v>393.227456</x:v>
      </x:c>
      <x:c r="S136" s="10" t="n">
        <x:v>336.269975</x:v>
      </x:c>
      <x:c r="T136" s="10" t="n">
        <x:v>213.786077</x:v>
      </x:c>
      <x:c r="U136" s="10" t="n">
        <x:v>454.223233</x:v>
      </x:c>
      <x:c r="V136" s="10" t="n">
        <x:v>367.200602</x:v>
      </x:c>
      <x:c r="W136" s="10" t="n">
        <x:v>569.052242</x:v>
      </x:c>
      <x:c r="X136" s="10" t="n">
        <x:v>947.819008</x:v>
      </x:c>
      <x:c r="Y136" s="10" t="n">
        <x:v>740.355793</x:v>
      </x:c>
      <x:c r="Z136" s="10" t="n">
        <x:v>1163.626664</x:v>
      </x:c>
      <x:c r="AA136" s="10" t="n">
        <x:v>1322.125996</x:v>
      </x:c>
      <x:c r="AB136" s="10" t="n">
        <x:v>2348.970683</x:v>
      </x:c>
      <x:c r="AC136" s="10" t="n">
        <x:v>2408.086843</x:v>
      </x:c>
      <x:c r="AD136" s="10" t="n">
        <x:v>1128.765773</x:v>
      </x:c>
      <x:c r="AE136" s="10" t="n">
        <x:f>IF(A136=B136,0,AVERAGE(E136:Q136))</x:f>
        <x:v>1338.2808277692307</x:v>
      </x:c>
      <x:c r="AF136" s="10" t="n">
        <x:f>IF(A136=B136,0,AVERAGE(R136:AD136))</x:f>
        <x:v>953.3469496153846</x:v>
      </x:c>
      <x:c r="AG136" s="10" t="n">
        <x:f>AE136+AF136</x:f>
        <x:v>2291.627777384615</x:v>
      </x:c>
    </x:row>
    <x:row r="137">
      <x:c r="A137" t="str">
        <x:v>NO</x:v>
      </x:c>
      <x:c r="B137" t="str">
        <x:v>NO</x:v>
      </x:c>
      <x:c r="C137" t="str">
        <x:v>Norway</x:v>
      </x:c>
      <x:c r="D137" t="str">
        <x:v>Norway</x:v>
      </x:c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  <x:c r="AC137" s="10"/>
      <x:c r="AD137" s="10"/>
      <x:c r="AE137" s="10" t="n">
        <x:f>IF(A137=B137,0,AVERAGE(E137:Q137))</x:f>
        <x:v>0</x:v>
      </x:c>
      <x:c r="AF137" s="10" t="n">
        <x:f>IF(A137=B137,0,AVERAGE(R137:AD137))</x:f>
        <x:v>0</x:v>
      </x:c>
      <x:c r="AG137" s="10" t="n">
        <x:f>AE137+AF137</x:f>
        <x:v>0</x:v>
      </x:c>
    </x:row>
    <x:row r="138">
      <x:c r="A138" t="str">
        <x:v>NO</x:v>
      </x:c>
      <x:c r="B138" t="str">
        <x:v>SG</x:v>
      </x:c>
      <x:c r="C138" t="str">
        <x:v>Norway</x:v>
      </x:c>
      <x:c r="D138" t="str">
        <x:v>Singapore</x:v>
      </x:c>
      <x:c r="E138" s="10" t="n">
        <x:v>236.709527</x:v>
      </x:c>
      <x:c r="F138" s="10" t="n">
        <x:v>302.433035</x:v>
      </x:c>
      <x:c r="G138" s="10" t="n">
        <x:v>376.502737</x:v>
      </x:c>
      <x:c r="H138" s="10" t="n">
        <x:v>737.054642</x:v>
      </x:c>
      <x:c r="I138" s="10" t="n">
        <x:v>370.621918</x:v>
      </x:c>
      <x:c r="J138" s="10" t="n">
        <x:v>793.26337</x:v>
      </x:c>
      <x:c r="K138" s="10" t="n">
        <x:v>15.045864</x:v>
      </x:c>
      <x:c r="L138" s="10" t="n">
        <x:v>1126.920052</x:v>
      </x:c>
      <x:c r="M138" s="10" t="n">
        <x:v>1185.848541</x:v>
      </x:c>
      <x:c r="N138" s="10" t="n">
        <x:v>1140.91686</x:v>
      </x:c>
      <x:c r="O138" s="10" t="n">
        <x:v>1224.066969</x:v>
      </x:c>
      <x:c r="P138" s="10" t="n">
        <x:v>1097.649603</x:v>
      </x:c>
      <x:c r="Q138" s="10" t="n">
        <x:v>1219.214121</x:v>
      </x:c>
      <x:c r="R138" s="10" t="n">
        <x:v>83.972712</x:v>
      </x:c>
      <x:c r="S138" s="10" t="n">
        <x:v>121.211687</x:v>
      </x:c>
      <x:c r="T138" s="10" t="n">
        <x:v>129.090002</x:v>
      </x:c>
      <x:c r="U138" s="10" t="n">
        <x:v>98.302415</x:v>
      </x:c>
      <x:c r="V138" s="10" t="n">
        <x:v>144.474547</x:v>
      </x:c>
      <x:c r="W138" s="10" t="n">
        <x:v>190.989507</x:v>
      </x:c>
      <x:c r="X138" s="10" t="n">
        <x:v>224.714663</x:v>
      </x:c>
      <x:c r="Y138" s="10" t="n">
        <x:v>162.337768</x:v>
      </x:c>
      <x:c r="Z138" s="10" t="n">
        <x:v>384.888451</x:v>
      </x:c>
      <x:c r="AA138" s="10" t="n">
        <x:v>258.885508</x:v>
      </x:c>
      <x:c r="AB138" s="10" t="n">
        <x:v>434.768288</x:v>
      </x:c>
      <x:c r="AC138" s="10" t="n">
        <x:v>524.430972</x:v>
      </x:c>
      <x:c r="AD138" s="10" t="n">
        <x:v>462.2992</x:v>
      </x:c>
      <x:c r="AE138" s="10" t="n">
        <x:f>IF(A138=B138,0,AVERAGE(E138:Q138))</x:f>
        <x:v>755.8651722307693</x:v>
      </x:c>
      <x:c r="AF138" s="10" t="n">
        <x:f>IF(A138=B138,0,AVERAGE(R138:AD138))</x:f>
        <x:v>247.72044000000002</x:v>
      </x:c>
      <x:c r="AG138" s="10" t="n">
        <x:f>AE138+AF138</x:f>
        <x:v>1003.5856122307694</x:v>
      </x:c>
    </x:row>
    <x:row r="139">
      <x:c r="A139" t="str">
        <x:v>NO</x:v>
      </x:c>
      <x:c r="B139" t="str">
        <x:v>TR</x:v>
      </x:c>
      <x:c r="C139" t="str">
        <x:v>Norway</x:v>
      </x:c>
      <x:c r="D139" t="str">
        <x:v>Türkiye, Republic of</x:v>
      </x:c>
      <x:c r="E139" s="10" t="n">
        <x:v>182.26342</x:v>
      </x:c>
      <x:c r="F139" s="10" t="n">
        <x:v>205.920919</x:v>
      </x:c>
      <x:c r="G139" s="10" t="n">
        <x:v>303.276709</x:v>
      </x:c>
      <x:c r="H139" s="10" t="n">
        <x:v>399.72562</x:v>
      </x:c>
      <x:c r="I139" s="10" t="n">
        <x:v>428.668564</x:v>
      </x:c>
      <x:c r="J139" s="10" t="n">
        <x:v>348.82754</x:v>
      </x:c>
      <x:c r="K139" s="10" t="n">
        <x:v>491.286198</x:v>
      </x:c>
      <x:c r="L139" s="10" t="n">
        <x:v>382.848039</x:v>
      </x:c>
      <x:c r="M139" s="10" t="n">
        <x:v>400.868184</x:v>
      </x:c>
      <x:c r="N139" s="10" t="n">
        <x:v>691.470206</x:v>
      </x:c>
      <x:c r="O139" s="10" t="n">
        <x:v>525.759083</x:v>
      </x:c>
      <x:c r="P139" s="10" t="n">
        <x:v>901.543476</x:v>
      </x:c>
      <x:c r="Q139" s="10" t="n">
        <x:v>903.581264</x:v>
      </x:c>
      <x:c r="R139" s="10" t="n">
        <x:v>115.811882</x:v>
      </x:c>
      <x:c r="S139" s="10" t="n">
        <x:v>115.765021</x:v>
      </x:c>
      <x:c r="T139" s="10" t="n">
        <x:v>163.754143</x:v>
      </x:c>
      <x:c r="U139" s="10" t="n">
        <x:v>257.984925</x:v>
      </x:c>
      <x:c r="V139" s="10" t="n">
        <x:v>352.978651</x:v>
      </x:c>
      <x:c r="W139" s="10" t="n">
        <x:v>440.948771</x:v>
      </x:c>
      <x:c r="X139" s="10" t="n">
        <x:v>427.269875</x:v>
      </x:c>
      <x:c r="Y139" s="10" t="n">
        <x:v>584.138708</x:v>
      </x:c>
      <x:c r="Z139" s="10" t="n">
        <x:v>591.836968</x:v>
      </x:c>
      <x:c r="AA139" s="10" t="n">
        <x:v>555.094371</x:v>
      </x:c>
      <x:c r="AB139" s="10" t="n">
        <x:v>552.401982</x:v>
      </x:c>
      <x:c r="AC139" s="10" t="n">
        <x:v>692.333213</x:v>
      </x:c>
      <x:c r="AD139" s="10" t="n">
        <x:v>768.700546</x:v>
      </x:c>
      <x:c r="AE139" s="10" t="n">
        <x:f>IF(A139=B139,0,AVERAGE(E139:Q139))</x:f>
        <x:v>474.3107093846154</x:v>
      </x:c>
      <x:c r="AF139" s="10" t="n">
        <x:f>IF(A139=B139,0,AVERAGE(R139:AD139))</x:f>
        <x:v>432.2322350769231</x:v>
      </x:c>
      <x:c r="AG139" s="10" t="n">
        <x:f>AE139+AF139</x:f>
        <x:v>906.5429444615385</x:v>
      </x:c>
    </x:row>
    <x:row r="140">
      <x:c r="A140" t="str">
        <x:v>NO</x:v>
      </x:c>
      <x:c r="B140" t="str">
        <x:v>US</x:v>
      </x:c>
      <x:c r="C140" t="str">
        <x:v>Norway</x:v>
      </x:c>
      <x:c r="D140" t="str">
        <x:v>United States</x:v>
      </x:c>
      <x:c r="E140" s="10" t="n">
        <x:v>4579.870474</x:v>
      </x:c>
      <x:c r="F140" s="10" t="n">
        <x:v>4627.88711</x:v>
      </x:c>
      <x:c r="G140" s="10" t="n">
        <x:v>5178.828196</x:v>
      </x:c>
      <x:c r="H140" s="10" t="n">
        <x:v>5904.512062</x:v>
      </x:c>
      <x:c r="I140" s="10" t="n">
        <x:v>6944.940943</x:v>
      </x:c>
      <x:c r="J140" s="10" t="n">
        <x:v>6842.484357</x:v>
      </x:c>
      <x:c r="K140" s="10" t="n">
        <x:v>6987.051695</x:v>
      </x:c>
      <x:c r="L140" s="10" t="n">
        <x:v>8388.785752</x:v>
      </x:c>
      <x:c r="M140" s="10" t="n">
        <x:v>7501.533622</x:v>
      </x:c>
      <x:c r="N140" s="10" t="n">
        <x:v>5809.51724</x:v>
      </x:c>
      <x:c r="O140" s="10" t="n">
        <x:v>6509.065246</x:v>
      </x:c>
      <x:c r="P140" s="10" t="n">
        <x:v>9022.138353</x:v>
      </x:c>
      <x:c r="Q140" s="10" t="n">
        <x:v>8090.605826</x:v>
      </x:c>
      <x:c r="R140" s="10" t="n">
        <x:v>2180.700078</x:v>
      </x:c>
      <x:c r="S140" s="10" t="n">
        <x:v>2196.829191</x:v>
      </x:c>
      <x:c r="T140" s="10" t="n">
        <x:v>2102.245139</x:v>
      </x:c>
      <x:c r="U140" s="10" t="n">
        <x:v>2063.963322</x:v>
      </x:c>
      <x:c r="V140" s="10" t="n">
        <x:v>2358.529147</x:v>
      </x:c>
      <x:c r="W140" s="10" t="n">
        <x:v>2850.443078</x:v>
      </x:c>
      <x:c r="X140" s="10" t="n">
        <x:v>3431.595146</x:v>
      </x:c>
      <x:c r="Y140" s="10" t="n">
        <x:v>3875.456179</x:v>
      </x:c>
      <x:c r="Z140" s="10" t="n">
        <x:v>4813.763779</x:v>
      </x:c>
      <x:c r="AA140" s="10" t="n">
        <x:v>4076.834808</x:v>
      </x:c>
      <x:c r="AB140" s="10" t="n">
        <x:v>4266.757841</x:v>
      </x:c>
      <x:c r="AC140" s="10" t="n">
        <x:v>4892.392835</x:v>
      </x:c>
      <x:c r="AD140" s="10" t="n">
        <x:v>4724.688361</x:v>
      </x:c>
      <x:c r="AE140" s="10" t="n">
        <x:f>IF(A140=B140,0,AVERAGE(E140:Q140))</x:f>
        <x:v>6645.170836615385</x:v>
      </x:c>
      <x:c r="AF140" s="10" t="n">
        <x:f>IF(A140=B140,0,AVERAGE(R140:AD140))</x:f>
        <x:v>3371.861454153846</x:v>
      </x:c>
      <x:c r="AG140" s="10" t="n">
        <x:f>AE140+AF140</x:f>
        <x:v>10017.032290769232</x:v>
      </x:c>
    </x:row>
    <x:row r="141">
      <x:c r="A141" t="str">
        <x:v>NO</x:v>
      </x:c>
      <x:c r="B141" t="str">
        <x:v>ZA</x:v>
      </x:c>
      <x:c r="C141" t="str">
        <x:v>Norway</x:v>
      </x:c>
      <x:c r="D141" t="str">
        <x:v>South Africa</x:v>
      </x:c>
      <x:c r="E141" s="10" t="n">
        <x:v>31.920339</x:v>
      </x:c>
      <x:c r="F141" s="10" t="n">
        <x:v>26.17947</x:v>
      </x:c>
      <x:c r="G141" s="10" t="n">
        <x:v>27.537256</x:v>
      </x:c>
      <x:c r="H141" s="10" t="n">
        <x:v>60.445126</x:v>
      </x:c>
      <x:c r="I141" s="10" t="n">
        <x:v>64.912849</x:v>
      </x:c>
      <x:c r="J141" s="10" t="n">
        <x:v>64.348559</x:v>
      </x:c>
      <x:c r="K141" s="10" t="n">
        <x:v>116.208005</x:v>
      </x:c>
      <x:c r="L141" s="10" t="n">
        <x:v>164.657552</x:v>
      </x:c>
      <x:c r="M141" s="10" t="n">
        <x:v>142.557636</x:v>
      </x:c>
      <x:c r="N141" s="10" t="n">
        <x:v>111.437155</x:v>
      </x:c>
      <x:c r="O141" s="10" t="n">
        <x:v>136.96278</x:v>
      </x:c>
      <x:c r="P141" s="10" t="n">
        <x:v>133.270221</x:v>
      </x:c>
      <x:c r="Q141" s="10" t="n">
        <x:v>141.572713</x:v>
      </x:c>
      <x:c r="R141" s="10" t="n">
        <x:v>45.180284</x:v>
      </x:c>
      <x:c r="S141" s="10" t="n">
        <x:v>58.829366</x:v>
      </x:c>
      <x:c r="T141" s="10" t="n">
        <x:v>68.811486</x:v>
      </x:c>
      <x:c r="U141" s="10" t="n">
        <x:v>86.792131</x:v>
      </x:c>
      <x:c r="V141" s="10" t="n">
        <x:v>110.686408</x:v>
      </x:c>
      <x:c r="W141" s="10" t="n">
        <x:v>120.750738</x:v>
      </x:c>
      <x:c r="X141" s="10" t="n">
        <x:v>104.495088</x:v>
      </x:c>
      <x:c r="Y141" s="10" t="n">
        <x:v>163.823555</x:v>
      </x:c>
      <x:c r="Z141" s="10" t="n">
        <x:v>444.936248</x:v>
      </x:c>
      <x:c r="AA141" s="10" t="n">
        <x:v>246.214471</x:v>
      </x:c>
      <x:c r="AB141" s="10" t="n">
        <x:v>461.562951</x:v>
      </x:c>
      <x:c r="AC141" s="10" t="n">
        <x:v>487.961795</x:v>
      </x:c>
      <x:c r="AD141" s="10" t="n">
        <x:v>438.808267</x:v>
      </x:c>
      <x:c r="AE141" s="10" t="n">
        <x:f>IF(A141=B141,0,AVERAGE(E141:Q141))</x:f>
        <x:v>94.00074315384616</x:v>
      </x:c>
      <x:c r="AF141" s="10" t="n">
        <x:f>IF(A141=B141,0,AVERAGE(R141:AD141))</x:f>
        <x:v>218.37329138461538</x:v>
      </x:c>
      <x:c r="AG141" s="10" t="n">
        <x:f>AE141+AF141</x:f>
        <x:v>312.37403453846156</x:v>
      </x:c>
    </x:row>
    <x:row r="142">
      <x:c r="A142" t="str">
        <x:v>SG</x:v>
      </x:c>
      <x:c r="B142" t="str">
        <x:v>AU</x:v>
      </x:c>
      <x:c r="C142" t="str">
        <x:v>Singapore</x:v>
      </x:c>
      <x:c r="D142" t="str">
        <x:v>Australia</x:v>
      </x:c>
      <x:c r="E142" s="10" t="n">
        <x:v>3221.550685</x:v>
      </x:c>
      <x:c r="F142" s="10" t="n">
        <x:v>3171.127793</x:v>
      </x:c>
      <x:c r="G142" s="10" t="n">
        <x:v>3372.945844</x:v>
      </x:c>
      <x:c r="H142" s="10" t="n">
        <x:v>4681.034761</x:v>
      </x:c>
      <x:c r="I142" s="10" t="n">
        <x:v>6611.897547</x:v>
      </x:c>
      <x:c r="J142" s="10" t="n">
        <x:v>8429.066188</x:v>
      </x:c>
      <x:c r="K142" s="10" t="n">
        <x:v>10186.379145</x:v>
      </x:c>
      <x:c r="L142" s="10" t="n">
        <x:v>11190.937445</x:v>
      </x:c>
      <x:c r="M142" s="10" t="n">
        <x:v>13875.56632</x:v>
      </x:c>
      <x:c r="N142" s="10" t="n">
        <x:v>10582.301052</x:v>
      </x:c>
      <x:c r="O142" s="10" t="n">
        <x:v>12584.983512</x:v>
      </x:c>
      <x:c r="P142" s="10" t="n">
        <x:v>16092.11052</x:v>
      </x:c>
      <x:c r="Q142" s="10" t="n">
        <x:v>17140.445921</x:v>
      </x:c>
      <x:c r="R142" s="10" t="n">
        <x:v>2298.318212</x:v>
      </x:c>
      <x:c r="S142" s="10" t="n">
        <x:v>2405.679938</x:v>
      </x:c>
      <x:c r="T142" s="10" t="n">
        <x:v>2158.633258</x:v>
      </x:c>
      <x:c r="U142" s="10" t="n">
        <x:v>2184.7368</x:v>
      </x:c>
      <x:c r="V142" s="10" t="n">
        <x:v>2299.53036</x:v>
      </x:c>
      <x:c r="W142" s="10" t="n">
        <x:v>2910.119155</x:v>
      </x:c>
      <x:c r="X142" s="10" t="n">
        <x:v>3739.406886</x:v>
      </x:c>
      <x:c r="Y142" s="10" t="n">
        <x:v>3165.996146</x:v>
      </x:c>
      <x:c r="Z142" s="10" t="n">
        <x:v>4583.558888</x:v>
      </x:c>
      <x:c r="AA142" s="10" t="n">
        <x:v>4004.635172</x:v>
      </x:c>
      <x:c r="AB142" s="10" t="n">
        <x:v>3451.191776</x:v>
      </x:c>
      <x:c r="AC142" s="10" t="n">
        <x:v>3739.902879</x:v>
      </x:c>
      <x:c r="AD142" s="10" t="n">
        <x:v>4912.522575</x:v>
      </x:c>
      <x:c r="AE142" s="10" t="n">
        <x:f>IF(A142=B142,0,AVERAGE(E142:Q142))</x:f>
        <x:v>9318.488210230771</x:v>
      </x:c>
      <x:c r="AF142" s="10" t="n">
        <x:f>IF(A142=B142,0,AVERAGE(R142:AD142))</x:f>
        <x:v>3219.5563111538463</x:v>
      </x:c>
      <x:c r="AG142" s="10" t="n">
        <x:f>AE142+AF142</x:f>
        <x:v>12538.044521384618</x:v>
      </x:c>
    </x:row>
    <x:row r="143">
      <x:c r="A143" t="str">
        <x:v>SG</x:v>
      </x:c>
      <x:c r="B143" t="str">
        <x:v>BR</x:v>
      </x:c>
      <x:c r="C143" t="str">
        <x:v>Singapore</x:v>
      </x:c>
      <x:c r="D143" t="str">
        <x:v>Brazil</x:v>
      </x:c>
      <x:c r="E143" s="10" t="n">
        <x:v>321.474597</x:v>
      </x:c>
      <x:c r="F143" s="10" t="n">
        <x:v>261.681067</x:v>
      </x:c>
      <x:c r="G143" s="10" t="n">
        <x:v>273.796611</x:v>
      </x:c>
      <x:c r="H143" s="10" t="n">
        <x:v>234.613895</x:v>
      </x:c>
      <x:c r="I143" s="10" t="n">
        <x:v>366.122485</x:v>
      </x:c>
      <x:c r="J143" s="10" t="n">
        <x:v>846.823028</x:v>
      </x:c>
      <x:c r="K143" s="10" t="n">
        <x:v>1272.550686</x:v>
      </x:c>
      <x:c r="L143" s="10" t="n">
        <x:v>1256.781004</x:v>
      </x:c>
      <x:c r="M143" s="10" t="n">
        <x:v>1599.395171</x:v>
      </x:c>
      <x:c r="N143" s="10" t="n">
        <x:v>1207.047308</x:v>
      </x:c>
      <x:c r="O143" s="10" t="n">
        <x:v>1452.846382</x:v>
      </x:c>
      <x:c r="P143" s="10" t="n">
        <x:v>1391.089111</x:v>
      </x:c>
      <x:c r="Q143" s="10" t="n">
        <x:v>1385.281881</x:v>
      </x:c>
      <x:c r="R143" s="10" t="n">
        <x:v>255.788832</x:v>
      </x:c>
      <x:c r="S143" s="10" t="n">
        <x:v>276.467186</x:v>
      </x:c>
      <x:c r="T143" s="10" t="n">
        <x:v>415.495302</x:v>
      </x:c>
      <x:c r="U143" s="10" t="n">
        <x:v>321.375282</x:v>
      </x:c>
      <x:c r="V143" s="10" t="n">
        <x:v>600.667949</x:v>
      </x:c>
      <x:c r="W143" s="10" t="n">
        <x:v>713.303523</x:v>
      </x:c>
      <x:c r="X143" s="10" t="n">
        <x:v>714.341619</x:v>
      </x:c>
      <x:c r="Y143" s="10" t="n">
        <x:v>864.07261</x:v>
      </x:c>
      <x:c r="Z143" s="10" t="n">
        <x:v>1304.165108</x:v>
      </x:c>
      <x:c r="AA143" s="10" t="n">
        <x:v>1224.789394</x:v>
      </x:c>
      <x:c r="AB143" s="10" t="n">
        <x:v>1291.508783</x:v>
      </x:c>
      <x:c r="AC143" s="10" t="n">
        <x:v>1918.400625</x:v>
      </x:c>
      <x:c r="AD143" s="10" t="n">
        <x:v>2045.737075</x:v>
      </x:c>
      <x:c r="AE143" s="10" t="n">
        <x:f>IF(A143=B143,0,AVERAGE(E143:Q143))</x:f>
        <x:v>913.0387096923077</x:v>
      </x:c>
      <x:c r="AF143" s="10" t="n">
        <x:f>IF(A143=B143,0,AVERAGE(R143:AD143))</x:f>
        <x:v>918.9317913846154</x:v>
      </x:c>
      <x:c r="AG143" s="10" t="n">
        <x:f>AE143+AF143</x:f>
        <x:v>1831.970501076923</x:v>
      </x:c>
    </x:row>
    <x:row r="144">
      <x:c r="A144" t="str">
        <x:v>SG</x:v>
      </x:c>
      <x:c r="B144" t="str">
        <x:v>CA</x:v>
      </x:c>
      <x:c r="C144" t="str">
        <x:v>Singapore</x:v>
      </x:c>
      <x:c r="D144" t="str">
        <x:v>Canada</x:v>
      </x:c>
      <x:c r="E144" s="10" t="n">
        <x:v>523.156323</x:v>
      </x:c>
      <x:c r="F144" s="10" t="n">
        <x:v>401.852919</x:v>
      </x:c>
      <x:c r="G144" s="10" t="n">
        <x:v>369.767885</x:v>
      </x:c>
      <x:c r="H144" s="10" t="n">
        <x:v>433.126029</x:v>
      </x:c>
      <x:c r="I144" s="10" t="n">
        <x:v>563.721013</x:v>
      </x:c>
      <x:c r="J144" s="10" t="n">
        <x:v>517.200405</x:v>
      </x:c>
      <x:c r="K144" s="10" t="n">
        <x:v>819.559805</x:v>
      </x:c>
      <x:c r="L144" s="10" t="n">
        <x:v>1985.436427</x:v>
      </x:c>
      <x:c r="M144" s="10" t="n">
        <x:v>1951.420735</x:v>
      </x:c>
      <x:c r="N144" s="10" t="n">
        <x:v>2439.275309</x:v>
      </x:c>
      <x:c r="O144" s="10" t="n">
        <x:v>1455.600077</x:v>
      </x:c>
      <x:c r="P144" s="10" t="n">
        <x:v>1405.493256</x:v>
      </x:c>
      <x:c r="Q144" s="10" t="n">
        <x:v>1192.613173</x:v>
      </x:c>
      <x:c r="R144" s="10" t="n">
        <x:v>479.747545</x:v>
      </x:c>
      <x:c r="S144" s="10" t="n">
        <x:v>417.441095</x:v>
      </x:c>
      <x:c r="T144" s="10" t="n">
        <x:v>575.906008</x:v>
      </x:c>
      <x:c r="U144" s="10" t="n">
        <x:v>553.445331</x:v>
      </x:c>
      <x:c r="V144" s="10" t="n">
        <x:v>651.648494</x:v>
      </x:c>
      <x:c r="W144" s="10" t="n">
        <x:v>812.193495</x:v>
      </x:c>
      <x:c r="X144" s="10" t="n">
        <x:v>914.892351</x:v>
      </x:c>
      <x:c r="Y144" s="10" t="n">
        <x:v>1073.527652</x:v>
      </x:c>
      <x:c r="Z144" s="10" t="n">
        <x:v>1131.276148</x:v>
      </x:c>
      <x:c r="AA144" s="10" t="n">
        <x:v>965.862001</x:v>
      </x:c>
      <x:c r="AB144" s="10" t="n">
        <x:v>1053.157251</x:v>
      </x:c>
      <x:c r="AC144" s="10" t="n">
        <x:v>1170.913163</x:v>
      </x:c>
      <x:c r="AD144" s="10" t="n">
        <x:v>1243.329141</x:v>
      </x:c>
      <x:c r="AE144" s="10" t="n">
        <x:f>IF(A144=B144,0,AVERAGE(E144:Q144))</x:f>
        <x:v>1081.4017966153845</x:v>
      </x:c>
      <x:c r="AF144" s="10" t="n">
        <x:f>IF(A144=B144,0,AVERAGE(R144:AD144))</x:f>
        <x:v>849.4876673076923</x:v>
      </x:c>
      <x:c r="AG144" s="10" t="n">
        <x:f>AE144+AF144</x:f>
        <x:v>1930.8894639230766</x:v>
      </x:c>
    </x:row>
    <x:row r="145">
      <x:c r="A145" t="str">
        <x:v>SG</x:v>
      </x:c>
      <x:c r="B145" t="str">
        <x:v>CH</x:v>
      </x:c>
      <x:c r="C145" t="str">
        <x:v>Singapore</x:v>
      </x:c>
      <x:c r="D145" t="str">
        <x:v>Switzerland</x:v>
      </x:c>
      <x:c r="E145" s="10" t="n">
        <x:v>521.507002</x:v>
      </x:c>
      <x:c r="F145" s="10" t="n">
        <x:v>623.107659</x:v>
      </x:c>
      <x:c r="G145" s="10" t="n">
        <x:v>406.673937</x:v>
      </x:c>
      <x:c r="H145" s="10" t="n">
        <x:v>473.900791</x:v>
      </x:c>
      <x:c r="I145" s="10" t="n">
        <x:v>583.384354</x:v>
      </x:c>
      <x:c r="J145" s="10" t="n">
        <x:v>668.084781</x:v>
      </x:c>
      <x:c r="K145" s="10" t="n">
        <x:v>898.541134</x:v>
      </x:c>
      <x:c r="L145" s="10" t="n">
        <x:v>900.225303</x:v>
      </x:c>
      <x:c r="M145" s="10" t="n">
        <x:v>754.61684</x:v>
      </x:c>
      <x:c r="N145" s="10" t="n">
        <x:v>1004.490005</x:v>
      </x:c>
      <x:c r="O145" s="10" t="n">
        <x:v>1160.562353</x:v>
      </x:c>
      <x:c r="P145" s="10" t="n">
        <x:v>827.766556</x:v>
      </x:c>
      <x:c r="Q145" s="10" t="n">
        <x:v>1588.765301</x:v>
      </x:c>
      <x:c r="R145" s="10" t="n">
        <x:v>2276.426831</x:v>
      </x:c>
      <x:c r="S145" s="10" t="n">
        <x:v>1954.763304</x:v>
      </x:c>
      <x:c r="T145" s="10" t="n">
        <x:v>1858.051899</x:v>
      </x:c>
      <x:c r="U145" s="10" t="n">
        <x:v>2017.170302</x:v>
      </x:c>
      <x:c r="V145" s="10" t="n">
        <x:v>2311.562322</x:v>
      </x:c>
      <x:c r="W145" s="10" t="n">
        <x:v>2308.582795</x:v>
      </x:c>
      <x:c r="X145" s="10" t="n">
        <x:v>1839.035245</x:v>
      </x:c>
      <x:c r="Y145" s="10" t="n">
        <x:v>2288.207945</x:v>
      </x:c>
      <x:c r="Z145" s="10" t="n">
        <x:v>2575.050218</x:v>
      </x:c>
      <x:c r="AA145" s="10" t="n">
        <x:v>2485.261831</x:v>
      </x:c>
      <x:c r="AB145" s="10" t="n">
        <x:v>4557.084634</x:v>
      </x:c>
      <x:c r="AC145" s="10" t="n">
        <x:v>4281.049483</x:v>
      </x:c>
      <x:c r="AD145" s="10" t="n">
        <x:v>4538.862114</x:v>
      </x:c>
      <x:c r="AE145" s="10" t="n">
        <x:f>IF(A145=B145,0,AVERAGE(E145:Q145))</x:f>
        <x:v>800.8943089230768</x:v>
      </x:c>
      <x:c r="AF145" s="10" t="n">
        <x:f>IF(A145=B145,0,AVERAGE(R145:AD145))</x:f>
        <x:v>2714.7006863846154</x:v>
      </x:c>
      <x:c r="AG145" s="10" t="n">
        <x:f>AE145+AF145</x:f>
        <x:v>3515.5949953076924</x:v>
      </x:c>
    </x:row>
    <x:row r="146">
      <x:c r="A146" t="str">
        <x:v>SG</x:v>
      </x:c>
      <x:c r="B146" t="str">
        <x:v>CN</x:v>
      </x:c>
      <x:c r="C146" t="str">
        <x:v>Singapore</x:v>
      </x:c>
      <x:c r="D146" t="str">
        <x:v>China, People's Republic of</x:v>
      </x:c>
      <x:c r="E146" s="10" t="n">
        <x:v>5376.941786</x:v>
      </x:c>
      <x:c r="F146" s="10" t="n">
        <x:v>5329.222531</x:v>
      </x:c>
      <x:c r="G146" s="10" t="n">
        <x:v>6863.097706</x:v>
      </x:c>
      <x:c r="H146" s="10" t="n">
        <x:v>10134.172213</x:v>
      </x:c>
      <x:c r="I146" s="10" t="n">
        <x:v>15391.714982</x:v>
      </x:c>
      <x:c r="J146" s="10" t="n">
        <x:v>19751.823066</x:v>
      </x:c>
      <x:c r="K146" s="10" t="n">
        <x:v>26513.843028</x:v>
      </x:c>
      <x:c r="L146" s="10" t="n">
        <x:v>28927.200593</x:v>
      </x:c>
      <x:c r="M146" s="10" t="n">
        <x:v>31124.896213</x:v>
      </x:c>
      <x:c r="N146" s="10" t="n">
        <x:v>26356.531951</x:v>
      </x:c>
      <x:c r="O146" s="10" t="n">
        <x:v>36495.547754</x:v>
      </x:c>
      <x:c r="P146" s="10" t="n">
        <x:v>42763.99897</x:v>
      </x:c>
      <x:c r="Q146" s="10" t="n">
        <x:v>44070.876901</x:v>
      </x:c>
      <x:c r="R146" s="10" t="n">
        <x:v>7116.163901</x:v>
      </x:c>
      <x:c r="S146" s="10" t="n">
        <x:v>7195.349321</x:v>
      </x:c>
      <x:c r="T146" s="10" t="n">
        <x:v>8869.039902</x:v>
      </x:c>
      <x:c r="U146" s="10" t="n">
        <x:v>11072.616841</x:v>
      </x:c>
      <x:c r="V146" s="10" t="n">
        <x:v>16210.757884</x:v>
      </x:c>
      <x:c r="W146" s="10" t="n">
        <x:v>20525.981478</x:v>
      </x:c>
      <x:c r="X146" s="10" t="n">
        <x:v>27242.806908</x:v>
      </x:c>
      <x:c r="Y146" s="10" t="n">
        <x:v>31889.652542</x:v>
      </x:c>
      <x:c r="Z146" s="10" t="n">
        <x:v>33711.123503</x:v>
      </x:c>
      <x:c r="AA146" s="10" t="n">
        <x:v>25964.317322</x:v>
      </x:c>
      <x:c r="AB146" s="10" t="n">
        <x:v>33665.666383</x:v>
      </x:c>
      <x:c r="AC146" s="10" t="n">
        <x:v>38020.049317</x:v>
      </x:c>
      <x:c r="AD146" s="10" t="n">
        <x:v>39191.688754</x:v>
      </x:c>
      <x:c r="AE146" s="10" t="n">
        <x:f>IF(A146=B146,0,AVERAGE(E146:Q146))</x:f>
        <x:v>23007.682130307694</x:v>
      </x:c>
      <x:c r="AF146" s="10" t="n">
        <x:f>IF(A146=B146,0,AVERAGE(R146:AD146))</x:f>
        <x:v>23128.862619692307</x:v>
      </x:c>
      <x:c r="AG146" s="10" t="n">
        <x:f>AE146+AF146</x:f>
        <x:v>46136.54475</x:v>
      </x:c>
    </x:row>
    <x:row r="147">
      <x:c r="A147" t="str">
        <x:v>SG</x:v>
      </x:c>
      <x:c r="B147" t="str">
        <x:v>EA</x:v>
      </x:c>
      <x:c r="C147" t="str">
        <x:v>Singapore</x:v>
      </x:c>
      <x:c r="D147" t="str">
        <x:v>Euro Area (EA)</x:v>
      </x:c>
      <x:c r="E147" s="10" t="n">
        <x:v>15235.864949</x:v>
      </x:c>
      <x:c r="F147" s="10" t="n">
        <x:v>13736.013638</x:v>
      </x:c>
      <x:c r="G147" s="10" t="n">
        <x:v>13234.530104</x:v>
      </x:c>
      <x:c r="H147" s="10" t="n">
        <x:v>15006.083233</x:v>
      </x:c>
      <x:c r="I147" s="10" t="n">
        <x:v>18580.774152</x:v>
      </x:c>
      <x:c r="J147" s="10" t="n">
        <x:v>20105.088478</x:v>
      </x:c>
      <x:c r="K147" s="10" t="n">
        <x:v>21860.236845</x:v>
      </x:c>
      <x:c r="L147" s="10" t="n">
        <x:v>22469.740649</x:v>
      </x:c>
      <x:c r="M147" s="10" t="n">
        <x:v>26496.777011</x:v>
      </x:c>
      <x:c r="N147" s="10" t="n">
        <x:v>19347.522043</x:v>
      </x:c>
      <x:c r="O147" s="10" t="n">
        <x:v>26289.76517</x:v>
      </x:c>
      <x:c r="P147" s="10" t="n">
        <x:v>30126.285309</x:v>
      </x:c>
      <x:c r="Q147" s="10" t="n">
        <x:v>29141.715339</x:v>
      </x:c>
      <x:c r="R147" s="10" t="n">
        <x:v>12295.283191</x:v>
      </x:c>
      <x:c r="S147" s="10" t="n">
        <x:v>10802.279414</x:v>
      </x:c>
      <x:c r="T147" s="10" t="n">
        <x:v>11235.098738</x:v>
      </x:c>
      <x:c r="U147" s="10" t="n">
        <x:v>13163.828014</x:v>
      </x:c>
      <x:c r="V147" s="10" t="n">
        <x:v>17395.375078</x:v>
      </x:c>
      <x:c r="W147" s="10" t="n">
        <x:v>17682.076263</x:v>
      </x:c>
      <x:c r="X147" s="10" t="n">
        <x:v>21004.309699</x:v>
      </x:c>
      <x:c r="Y147" s="10" t="n">
        <x:v>25518.718244</x:v>
      </x:c>
      <x:c r="Z147" s="10" t="n">
        <x:v>31329.008434</x:v>
      </x:c>
      <x:c r="AA147" s="10" t="n">
        <x:v>26962.201833</x:v>
      </x:c>
      <x:c r="AB147" s="10" t="n">
        <x:v>29628.4063</x:v>
      </x:c>
      <x:c r="AC147" s="10" t="n">
        <x:v>36214.624275</x:v>
      </x:c>
      <x:c r="AD147" s="10" t="n">
        <x:v>37703.338521</x:v>
      </x:c>
      <x:c r="AE147" s="10" t="n">
        <x:f>IF(A147=B147,0,AVERAGE(E147:Q147))</x:f>
        <x:v>20894.64591692308</x:v>
      </x:c>
      <x:c r="AF147" s="10" t="n">
        <x:f>IF(A147=B147,0,AVERAGE(R147:AD147))</x:f>
        <x:v>22379.580615692306</x:v>
      </x:c>
      <x:c r="AG147" s="10" t="n">
        <x:f>AE147+AF147</x:f>
        <x:v>43274.22653261539</x:v>
      </x:c>
    </x:row>
    <x:row r="148">
      <x:c r="A148" t="str">
        <x:v>SG</x:v>
      </x:c>
      <x:c r="B148" t="str">
        <x:v>UK</x:v>
      </x:c>
      <x:c r="C148" t="str">
        <x:v>Singapore</x:v>
      </x:c>
      <x:c r="D148" t="str">
        <x:v>United Kingdom</x:v>
      </x:c>
      <x:c r="E148" s="10" t="n">
        <x:v>3550.338785</x:v>
      </x:c>
      <x:c r="F148" s="10" t="n">
        <x:v>2850.540873</x:v>
      </x:c>
      <x:c r="G148" s="10" t="n">
        <x:v>2588.553269</x:v>
      </x:c>
      <x:c r="H148" s="10" t="n">
        <x:v>4575.704545</x:v>
      </x:c>
      <x:c r="I148" s="10" t="n">
        <x:v>6295.827898</x:v>
      </x:c>
      <x:c r="J148" s="10" t="n">
        <x:v>6314.878019</x:v>
      </x:c>
      <x:c r="K148" s="10" t="n">
        <x:v>7265.894159</x:v>
      </x:c>
      <x:c r="L148" s="10" t="n">
        <x:v>8124.179916</x:v>
      </x:c>
      <x:c r="M148" s="10" t="n">
        <x:v>6615.254013</x:v>
      </x:c>
      <x:c r="N148" s="10" t="n">
        <x:v>4952.105709</x:v>
      </x:c>
      <x:c r="O148" s="10" t="n">
        <x:v>6168.754925</x:v>
      </x:c>
      <x:c r="P148" s="10" t="n">
        <x:v>6965.050517</x:v>
      </x:c>
      <x:c r="Q148" s="10" t="n">
        <x:v>6549.640131</x:v>
      </x:c>
      <x:c r="R148" s="10" t="n">
        <x:v>2741.278743</x:v>
      </x:c>
      <x:c r="S148" s="10" t="n">
        <x:v>2440.15489</x:v>
      </x:c>
      <x:c r="T148" s="10" t="n">
        <x:v>2353.373908</x:v>
      </x:c>
      <x:c r="U148" s="10" t="n">
        <x:v>2545.603454</x:v>
      </x:c>
      <x:c r="V148" s="10" t="n">
        <x:v>3140.694144</x:v>
      </x:c>
      <x:c r="W148" s="10" t="n">
        <x:v>3944.297731</x:v>
      </x:c>
      <x:c r="X148" s="10" t="n">
        <x:v>4290.39503</x:v>
      </x:c>
      <x:c r="Y148" s="10" t="n">
        <x:v>4808.454405</x:v>
      </x:c>
      <x:c r="Z148" s="10" t="n">
        <x:v>4674.460139</x:v>
      </x:c>
      <x:c r="AA148" s="10" t="n">
        <x:v>4535.847466</x:v>
      </x:c>
      <x:c r="AB148" s="10" t="n">
        <x:v>5602.372278</x:v>
      </x:c>
      <x:c r="AC148" s="10" t="n">
        <x:v>6083.55443</x:v>
      </x:c>
      <x:c r="AD148" s="10" t="n">
        <x:v>7042.646098</x:v>
      </x:c>
      <x:c r="AE148" s="10" t="n">
        <x:f>IF(A148=B148,0,AVERAGE(E148:Q148))</x:f>
        <x:v>5601.286366076923</x:v>
      </x:c>
      <x:c r="AF148" s="10" t="n">
        <x:f>IF(A148=B148,0,AVERAGE(R148:AD148))</x:f>
        <x:v>4169.471747384615</x:v>
      </x:c>
      <x:c r="AG148" s="10" t="n">
        <x:f>AE148+AF148</x:f>
        <x:v>9770.758113461538</x:v>
      </x:c>
    </x:row>
    <x:row r="149">
      <x:c r="A149" t="str">
        <x:v>SG</x:v>
      </x:c>
      <x:c r="B149" t="str">
        <x:v>JP</x:v>
      </x:c>
      <x:c r="C149" t="str">
        <x:v>Singapore</x:v>
      </x:c>
      <x:c r="D149" t="str">
        <x:v>Japan</x:v>
      </x:c>
      <x:c r="E149" s="10" t="n">
        <x:v>10404.383554</x:v>
      </x:c>
      <x:c r="F149" s="10" t="n">
        <x:v>9341.468261</x:v>
      </x:c>
      <x:c r="G149" s="10" t="n">
        <x:v>8934.506269</x:v>
      </x:c>
      <x:c r="H149" s="10" t="n">
        <x:v>9696.039224</x:v>
      </x:c>
      <x:c r="I149" s="10" t="n">
        <x:v>11566.705782</x:v>
      </x:c>
      <x:c r="J149" s="10" t="n">
        <x:v>12535.884113</x:v>
      </x:c>
      <x:c r="K149" s="10" t="n">
        <x:v>14854.712604</x:v>
      </x:c>
      <x:c r="L149" s="10" t="n">
        <x:v>14388.970669</x:v>
      </x:c>
      <x:c r="M149" s="10" t="n">
        <x:v>16709.73034</x:v>
      </x:c>
      <x:c r="N149" s="10" t="n">
        <x:v>12304.734134</x:v>
      </x:c>
      <x:c r="O149" s="10" t="n">
        <x:v>16412.133951</x:v>
      </x:c>
      <x:c r="P149" s="10" t="n">
        <x:v>18431.671903</x:v>
      </x:c>
      <x:c r="Q149" s="10" t="n">
        <x:v>18825.650047</x:v>
      </x:c>
      <x:c r="R149" s="10" t="n">
        <x:v>23188.693118</x:v>
      </x:c>
      <x:c r="S149" s="10" t="n">
        <x:v>16091.246808</x:v>
      </x:c>
      <x:c r="T149" s="10" t="n">
        <x:v>14575.909607</x:v>
      </x:c>
      <x:c r="U149" s="10" t="n">
        <x:v>15396.223136</x:v>
      </x:c>
      <x:c r="V149" s="10" t="n">
        <x:v>19096.228595</x:v>
      </x:c>
      <x:c r="W149" s="10" t="n">
        <x:v>19244.098195</x:v>
      </x:c>
      <x:c r="X149" s="10" t="n">
        <x:v>19927.835521</x:v>
      </x:c>
      <x:c r="Y149" s="10" t="n">
        <x:v>21541.89604</x:v>
      </x:c>
      <x:c r="Z149" s="10" t="n">
        <x:v>25941.679007</x:v>
      </x:c>
      <x:c r="AA149" s="10" t="n">
        <x:v>18758.443825</x:v>
      </x:c>
      <x:c r="AB149" s="10" t="n">
        <x:v>24454.2293</x:v>
      </x:c>
      <x:c r="AC149" s="10" t="n">
        <x:v>26234.549549</x:v>
      </x:c>
      <x:c r="AD149" s="10" t="n">
        <x:v>23639.412651</x:v>
      </x:c>
      <x:c r="AE149" s="10" t="n">
        <x:f>IF(A149=B149,0,AVERAGE(E149:Q149))</x:f>
        <x:v>13415.891603923079</x:v>
      </x:c>
      <x:c r="AF149" s="10" t="n">
        <x:f>IF(A149=B149,0,AVERAGE(R149:AD149))</x:f>
        <x:v>20622.34195015385</x:v>
      </x:c>
      <x:c r="AG149" s="10" t="n">
        <x:f>AE149+AF149</x:f>
        <x:v>34038.23355407693</x:v>
      </x:c>
    </x:row>
    <x:row r="150">
      <x:c r="A150" t="str">
        <x:v>SG</x:v>
      </x:c>
      <x:c r="B150" t="str">
        <x:v>KR</x:v>
      </x:c>
      <x:c r="C150" t="str">
        <x:v>Singapore</x:v>
      </x:c>
      <x:c r="D150" t="str">
        <x:v>Korea, Republic of</x:v>
      </x:c>
      <x:c r="E150" s="10" t="n">
        <x:v>4915.812182</x:v>
      </x:c>
      <x:c r="F150" s="10" t="n">
        <x:v>4687.635682</x:v>
      </x:c>
      <x:c r="G150" s="10" t="n">
        <x:v>5208.214561</x:v>
      </x:c>
      <x:c r="H150" s="10" t="n">
        <x:v>6058.108177</x:v>
      </x:c>
      <x:c r="I150" s="10" t="n">
        <x:v>7386.666004</x:v>
      </x:c>
      <x:c r="J150" s="10" t="n">
        <x:v>8053.15021</x:v>
      </x:c>
      <x:c r="K150" s="10" t="n">
        <x:v>8736.084277</x:v>
      </x:c>
      <x:c r="L150" s="10" t="n">
        <x:v>10609.133606</x:v>
      </x:c>
      <x:c r="M150" s="10" t="n">
        <x:v>12291.405338</x:v>
      </x:c>
      <x:c r="N150" s="10" t="n">
        <x:v>12570.050271</x:v>
      </x:c>
      <x:c r="O150" s="10" t="n">
        <x:v>14398.451766</x:v>
      </x:c>
      <x:c r="P150" s="10" t="n">
        <x:v>15482.48742</x:v>
      </x:c>
      <x:c r="Q150" s="10" t="n">
        <x:v>16579.455583</x:v>
      </x:c>
      <x:c r="R150" s="10" t="n">
        <x:v>4821.843361</x:v>
      </x:c>
      <x:c r="S150" s="10" t="n">
        <x:v>3822.658809</x:v>
      </x:c>
      <x:c r="T150" s="10" t="n">
        <x:v>4302.98928</x:v>
      </x:c>
      <x:c r="U150" s="10" t="n">
        <x:v>4960.158251</x:v>
      </x:c>
      <x:c r="V150" s="10" t="n">
        <x:v>6936.194682</x:v>
      </x:c>
      <x:c r="W150" s="10" t="n">
        <x:v>8598.548225</x:v>
      </x:c>
      <x:c r="X150" s="10" t="n">
        <x:v>10477.466357</x:v>
      </x:c>
      <x:c r="Y150" s="10" t="n">
        <x:v>12814.223542</x:v>
      </x:c>
      <x:c r="Z150" s="10" t="n">
        <x:v>18008.939088</x:v>
      </x:c>
      <x:c r="AA150" s="10" t="n">
        <x:v>14060.6784</x:v>
      </x:c>
      <x:c r="AB150" s="10" t="n">
        <x:v>18029.50305</x:v>
      </x:c>
      <x:c r="AC150" s="10" t="n">
        <x:v>21769.459412</x:v>
      </x:c>
      <x:c r="AD150" s="10" t="n">
        <x:v>25665.066004</x:v>
      </x:c>
      <x:c r="AE150" s="10" t="n">
        <x:f>IF(A150=B150,0,AVERAGE(E150:Q150))</x:f>
        <x:v>9767.435005923076</x:v>
      </x:c>
      <x:c r="AF150" s="10" t="n">
        <x:f>IF(A150=B150,0,AVERAGE(R150:AD150))</x:f>
        <x:v>11866.748343153846</x:v>
      </x:c>
      <x:c r="AG150" s="10" t="n">
        <x:f>AE150+AF150</x:f>
        <x:v>21634.18334907692</x:v>
      </x:c>
    </x:row>
    <x:row r="151">
      <x:c r="A151" t="str">
        <x:v>SG</x:v>
      </x:c>
      <x:c r="B151" t="str">
        <x:v>NO</x:v>
      </x:c>
      <x:c r="C151" t="str">
        <x:v>Singapore</x:v>
      </x:c>
      <x:c r="D151" t="str">
        <x:v>Norway</x:v>
      </x:c>
      <x:c r="E151" s="10" t="n">
        <x:v>118.967053</x:v>
      </x:c>
      <x:c r="F151" s="10" t="n">
        <x:v>161.711558</x:v>
      </x:c>
      <x:c r="G151" s="10" t="n">
        <x:v>170.804365</x:v>
      </x:c>
      <x:c r="H151" s="10" t="n">
        <x:v>156.98335</x:v>
      </x:c>
      <x:c r="I151" s="10" t="n">
        <x:v>185.975492</x:v>
      </x:c>
      <x:c r="J151" s="10" t="n">
        <x:v>227.394958</x:v>
      </x:c>
      <x:c r="K151" s="10" t="n">
        <x:v>260.156502</x:v>
      </x:c>
      <x:c r="L151" s="10" t="n">
        <x:v>283.00408</x:v>
      </x:c>
      <x:c r="M151" s="10" t="n">
        <x:v>424.582124</x:v>
      </x:c>
      <x:c r="N151" s="10" t="n">
        <x:v>288.229439</x:v>
      </x:c>
      <x:c r="O151" s="10" t="n">
        <x:v>370.255703</x:v>
      </x:c>
      <x:c r="P151" s="10" t="n">
        <x:v>1357.523512</x:v>
      </x:c>
      <x:c r="Q151" s="10" t="n">
        <x:v>638.166035</x:v>
      </x:c>
      <x:c r="R151" s="10" t="n">
        <x:v>196.366227</x:v>
      </x:c>
      <x:c r="S151" s="10" t="n">
        <x:v>303.443849</x:v>
      </x:c>
      <x:c r="T151" s="10" t="n">
        <x:v>272.094632</x:v>
      </x:c>
      <x:c r="U151" s="10" t="n">
        <x:v>266.555804</x:v>
      </x:c>
      <x:c r="V151" s="10" t="n">
        <x:v>275.765399</x:v>
      </x:c>
      <x:c r="W151" s="10" t="n">
        <x:v>405.507342</x:v>
      </x:c>
      <x:c r="X151" s="10" t="n">
        <x:v>540.772472</x:v>
      </x:c>
      <x:c r="Y151" s="10" t="n">
        <x:v>1009.270076</x:v>
      </x:c>
      <x:c r="Z151" s="10" t="n">
        <x:v>1337.801543</x:v>
      </x:c>
      <x:c r="AA151" s="10" t="n">
        <x:v>1493.77871</x:v>
      </x:c>
      <x:c r="AB151" s="10" t="n">
        <x:v>1299.211122</x:v>
      </x:c>
      <x:c r="AC151" s="10" t="n">
        <x:v>1016.79673</x:v>
      </x:c>
      <x:c r="AD151" s="10" t="n">
        <x:v>1177.251257</x:v>
      </x:c>
      <x:c r="AE151" s="10" t="n">
        <x:f>IF(A151=B151,0,AVERAGE(E151:Q151))</x:f>
        <x:v>357.2118593076923</x:v>
      </x:c>
      <x:c r="AF151" s="10" t="n">
        <x:f>IF(A151=B151,0,AVERAGE(R151:AD151))</x:f>
        <x:v>738.0473202307692</x:v>
      </x:c>
      <x:c r="AG151" s="10" t="n">
        <x:f>AE151+AF151</x:f>
        <x:v>1095.2591795384615</x:v>
      </x:c>
    </x:row>
    <x:row r="152">
      <x:c r="A152" t="str">
        <x:v>SG</x:v>
      </x:c>
      <x:c r="B152" t="str">
        <x:v>SG</x:v>
      </x:c>
      <x:c r="C152" t="str">
        <x:v>Singapore</x:v>
      </x:c>
      <x:c r="D152" t="str">
        <x:v>Singapore</x:v>
      </x:c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  <x:c r="AD152" s="10"/>
      <x:c r="AE152" s="10" t="n">
        <x:f>IF(A152=B152,0,AVERAGE(E152:Q152))</x:f>
        <x:v>0</x:v>
      </x:c>
      <x:c r="AF152" s="10" t="n">
        <x:f>IF(A152=B152,0,AVERAGE(R152:AD152))</x:f>
        <x:v>0</x:v>
      </x:c>
      <x:c r="AG152" s="10" t="n">
        <x:f>AE152+AF152</x:f>
        <x:v>0</x:v>
      </x:c>
    </x:row>
    <x:row r="153">
      <x:c r="A153" t="str">
        <x:v>SG</x:v>
      </x:c>
      <x:c r="B153" t="str">
        <x:v>TR</x:v>
      </x:c>
      <x:c r="C153" t="str">
        <x:v>Singapore</x:v>
      </x:c>
      <x:c r="D153" t="str">
        <x:v>Türkiye, Republic of</x:v>
      </x:c>
      <x:c r="E153" s="10" t="n">
        <x:v>192.83682</x:v>
      </x:c>
      <x:c r="F153" s="10" t="n">
        <x:v>118.933823</x:v>
      </x:c>
      <x:c r="G153" s="10" t="n">
        <x:v>121.824326</x:v>
      </x:c>
      <x:c r="H153" s="10" t="n">
        <x:v>159.772101</x:v>
      </x:c>
      <x:c r="I153" s="10" t="n">
        <x:v>222.810606</x:v>
      </x:c>
      <x:c r="J153" s="10" t="n">
        <x:v>221.897061</x:v>
      </x:c>
      <x:c r="K153" s="10" t="n">
        <x:v>305.345675</x:v>
      </x:c>
      <x:c r="L153" s="10" t="n">
        <x:v>330.424628</x:v>
      </x:c>
      <x:c r="M153" s="10" t="n">
        <x:v>351.081135</x:v>
      </x:c>
      <x:c r="N153" s="10" t="n">
        <x:v>294.844352</x:v>
      </x:c>
      <x:c r="O153" s="10" t="n">
        <x:v>344.04657</x:v>
      </x:c>
      <x:c r="P153" s="10" t="n">
        <x:v>722.446979</x:v>
      </x:c>
      <x:c r="Q153" s="10" t="n">
        <x:v>558.466979</x:v>
      </x:c>
      <x:c r="R153" s="10" t="n">
        <x:v>137.886046</x:v>
      </x:c>
      <x:c r="S153" s="10" t="n">
        <x:v>110.415121</x:v>
      </x:c>
      <x:c r="T153" s="10" t="n">
        <x:v>114.928622</x:v>
      </x:c>
      <x:c r="U153" s="10" t="n">
        <x:v>116.491822</x:v>
      </x:c>
      <x:c r="V153" s="10" t="n">
        <x:v>118.806036</x:v>
      </x:c>
      <x:c r="W153" s="10" t="n">
        <x:v>107.707797</x:v>
      </x:c>
      <x:c r="X153" s="10" t="n">
        <x:v>194.305553</x:v>
      </x:c>
      <x:c r="Y153" s="10" t="n">
        <x:v>360.855348</x:v>
      </x:c>
      <x:c r="Z153" s="10" t="n">
        <x:v>996.087557</x:v>
      </x:c>
      <x:c r="AA153" s="10" t="n">
        <x:v>438.844367</x:v>
      </x:c>
      <x:c r="AB153" s="10" t="n">
        <x:v>564.865291</x:v>
      </x:c>
      <x:c r="AC153" s="10" t="n">
        <x:v>1032.860941</x:v>
      </x:c>
      <x:c r="AD153" s="10" t="n">
        <x:v>605.969583</x:v>
      </x:c>
      <x:c r="AE153" s="10" t="n">
        <x:f>IF(A153=B153,0,AVERAGE(E153:Q153))</x:f>
        <x:v>303.4408503846154</x:v>
      </x:c>
      <x:c r="AF153" s="10" t="n">
        <x:f>IF(A153=B153,0,AVERAGE(R153:AD153))</x:f>
        <x:v>376.9249295384616</x:v>
      </x:c>
      <x:c r="AG153" s="10" t="n">
        <x:f>AE153+AF153</x:f>
        <x:v>680.365779923077</x:v>
      </x:c>
    </x:row>
    <x:row r="154">
      <x:c r="A154" t="str">
        <x:v>SG</x:v>
      </x:c>
      <x:c r="B154" t="str">
        <x:v>US</x:v>
      </x:c>
      <x:c r="C154" t="str">
        <x:v>Singapore</x:v>
      </x:c>
      <x:c r="D154" t="str">
        <x:v>United States</x:v>
      </x:c>
      <x:c r="E154" s="10" t="n">
        <x:v>23890.777055</x:v>
      </x:c>
      <x:c r="F154" s="10" t="n">
        <x:v>18755.239273</x:v>
      </x:c>
      <x:c r="G154" s="10" t="n">
        <x:v>19105.577419</x:v>
      </x:c>
      <x:c r="H154" s="10" t="n">
        <x:v>20570.000147</x:v>
      </x:c>
      <x:c r="I154" s="10" t="n">
        <x:v>23282.213289</x:v>
      </x:c>
      <x:c r="J154" s="10" t="n">
        <x:v>23880.27749</x:v>
      </x:c>
      <x:c r="K154" s="10" t="n">
        <x:v>27622.104795</x:v>
      </x:c>
      <x:c r="L154" s="10" t="n">
        <x:v>26643.326956</x:v>
      </x:c>
      <x:c r="M154" s="10" t="n">
        <x:v>24196.272084</x:v>
      </x:c>
      <x:c r="N154" s="10" t="n">
        <x:v>17746.481029</x:v>
      </x:c>
      <x:c r="O154" s="10" t="n">
        <x:v>23005.321645</x:v>
      </x:c>
      <x:c r="P154" s="10" t="n">
        <x:v>22362.436612</x:v>
      </x:c>
      <x:c r="Q154" s="10" t="n">
        <x:v>22709.360453</x:v>
      </x:c>
      <x:c r="R154" s="10" t="n">
        <x:v>20270.006662</x:v>
      </x:c>
      <x:c r="S154" s="10" t="n">
        <x:v>19159.05921</x:v>
      </x:c>
      <x:c r="T154" s="10" t="n">
        <x:v>16604.893343</x:v>
      </x:c>
      <x:c r="U154" s="10" t="n">
        <x:v>18003.322904</x:v>
      </x:c>
      <x:c r="V154" s="10" t="n">
        <x:v>20743.805162</x:v>
      </x:c>
      <x:c r="W154" s="10" t="n">
        <x:v>23482.190704</x:v>
      </x:c>
      <x:c r="X154" s="10" t="n">
        <x:v>30352.929461</x:v>
      </x:c>
      <x:c r="Y154" s="10" t="n">
        <x:v>32867.392482</x:v>
      </x:c>
      <x:c r="Z154" s="10" t="n">
        <x:v>37852.581805</x:v>
      </x:c>
      <x:c r="AA154" s="10" t="n">
        <x:v>29216.544866</x:v>
      </x:c>
      <x:c r="AB154" s="10" t="n">
        <x:v>35632.786044</x:v>
      </x:c>
      <x:c r="AC154" s="10" t="n">
        <x:v>39535.565804</x:v>
      </x:c>
      <x:c r="AD154" s="10" t="n">
        <x:v>38818.06307</x:v>
      </x:c>
      <x:c r="AE154" s="10" t="n">
        <x:f>IF(A154=B154,0,AVERAGE(E154:Q154))</x:f>
        <x:v>22597.64524976923</x:v>
      </x:c>
      <x:c r="AF154" s="10" t="n">
        <x:f>IF(A154=B154,0,AVERAGE(R154:AD154))</x:f>
        <x:v>27887.62627053846</x:v>
      </x:c>
      <x:c r="AG154" s="10" t="n">
        <x:f>AE154+AF154</x:f>
        <x:v>50485.271520307695</x:v>
      </x:c>
    </x:row>
    <x:row r="155">
      <x:c r="A155" t="str">
        <x:v>SG</x:v>
      </x:c>
      <x:c r="B155" t="str">
        <x:v>ZA</x:v>
      </x:c>
      <x:c r="C155" t="str">
        <x:v>Singapore</x:v>
      </x:c>
      <x:c r="D155" t="str">
        <x:v>South Africa</x:v>
      </x:c>
      <x:c r="E155" s="10" t="n">
        <x:v>502.452412</x:v>
      </x:c>
      <x:c r="F155" s="10" t="n">
        <x:v>259.810242</x:v>
      </x:c>
      <x:c r="G155" s="10" t="n">
        <x:v>239.558842</x:v>
      </x:c>
      <x:c r="H155" s="10" t="n">
        <x:v>306.954138</x:v>
      </x:c>
      <x:c r="I155" s="10" t="n">
        <x:v>474.602137</x:v>
      </x:c>
      <x:c r="J155" s="10" t="n">
        <x:v>550.117382</x:v>
      </x:c>
      <x:c r="K155" s="10" t="n">
        <x:v>1046.87677</x:v>
      </x:c>
      <x:c r="L155" s="10" t="n">
        <x:v>733.232383</x:v>
      </x:c>
      <x:c r="M155" s="10" t="n">
        <x:v>949.246143</x:v>
      </x:c>
      <x:c r="N155" s="10" t="n">
        <x:v>845.259361</x:v>
      </x:c>
      <x:c r="O155" s="10" t="n">
        <x:v>1503.155193</x:v>
      </x:c>
      <x:c r="P155" s="10" t="n">
        <x:v>1584.57549</x:v>
      </x:c>
      <x:c r="Q155" s="10" t="n">
        <x:v>1495.290701</x:v>
      </x:c>
      <x:c r="R155" s="10" t="n">
        <x:v>242.13134</x:v>
      </x:c>
      <x:c r="S155" s="10" t="n">
        <x:v>217.391601</x:v>
      </x:c>
      <x:c r="T155" s="10" t="n">
        <x:v>179.183395</x:v>
      </x:c>
      <x:c r="U155" s="10" t="n">
        <x:v>281.789062</x:v>
      </x:c>
      <x:c r="V155" s="10" t="n">
        <x:v>327.247659</x:v>
      </x:c>
      <x:c r="W155" s="10" t="n">
        <x:v>424.895911</x:v>
      </x:c>
      <x:c r="X155" s="10" t="n">
        <x:v>487.36334</x:v>
      </x:c>
      <x:c r="Y155" s="10" t="n">
        <x:v>434.400171</x:v>
      </x:c>
      <x:c r="Z155" s="10" t="n">
        <x:v>529.702725</x:v>
      </x:c>
      <x:c r="AA155" s="10" t="n">
        <x:v>331.342735</x:v>
      </x:c>
      <x:c r="AB155" s="10" t="n">
        <x:v>447.154183</x:v>
      </x:c>
      <x:c r="AC155" s="10" t="n">
        <x:v>425.962445</x:v>
      </x:c>
      <x:c r="AD155" s="10" t="n">
        <x:v>743.070816</x:v>
      </x:c>
      <x:c r="AE155" s="10" t="n">
        <x:f>IF(A155=B155,0,AVERAGE(E155:Q155))</x:f>
        <x:v>807.010091846154</x:v>
      </x:c>
      <x:c r="AF155" s="10" t="n">
        <x:f>IF(A155=B155,0,AVERAGE(R155:AD155))</x:f>
        <x:v>390.12579869230774</x:v>
      </x:c>
      <x:c r="AG155" s="10" t="n">
        <x:f>AE155+AF155</x:f>
        <x:v>1197.1358905384618</x:v>
      </x:c>
    </x:row>
    <x:row r="156">
      <x:c r="A156" t="str">
        <x:v>TR</x:v>
      </x:c>
      <x:c r="B156" t="str">
        <x:v>AU</x:v>
      </x:c>
      <x:c r="C156" t="str">
        <x:v>Türkiye, Republic of</x:v>
      </x:c>
      <x:c r="D156" t="str">
        <x:v>Australia</x:v>
      </x:c>
      <x:c r="E156" s="10" t="n">
        <x:v>122.071028</x:v>
      </x:c>
      <x:c r="F156" s="10" t="n">
        <x:v>84.286963</x:v>
      </x:c>
      <x:c r="G156" s="10" t="n">
        <x:v>99.676487</x:v>
      </x:c>
      <x:c r="H156" s="10" t="n">
        <x:v>136.126131</x:v>
      </x:c>
      <x:c r="I156" s="10" t="n">
        <x:v>226.706466</x:v>
      </x:c>
      <x:c r="J156" s="10" t="n">
        <x:v>227.52317</x:v>
      </x:c>
      <x:c r="K156" s="10" t="n">
        <x:v>289.00798</x:v>
      </x:c>
      <x:c r="L156" s="10" t="n">
        <x:v>291.879489</x:v>
      </x:c>
      <x:c r="M156" s="10" t="n">
        <x:v>367.316421</x:v>
      </x:c>
      <x:c r="N156" s="10" t="n">
        <x:v>304.86097</x:v>
      </x:c>
      <x:c r="O156" s="10" t="n">
        <x:v>336.483863</x:v>
      </x:c>
      <x:c r="P156" s="10" t="n">
        <x:v>410.549163</x:v>
      </x:c>
      <x:c r="Q156" s="10" t="n">
        <x:v>421.731086</x:v>
      </x:c>
      <x:c r="R156" s="10" t="n">
        <x:v>281.99609</x:v>
      </x:c>
      <x:c r="S156" s="10" t="n">
        <x:v>210.84056</x:v>
      </x:c>
      <x:c r="T156" s="10" t="n">
        <x:v>285.630121</x:v>
      </x:c>
      <x:c r="U156" s="10" t="n">
        <x:v>228.662669</x:v>
      </x:c>
      <x:c r="V156" s="10" t="n">
        <x:v>283.082381</x:v>
      </x:c>
      <x:c r="W156" s="10" t="n">
        <x:v>293.759537</x:v>
      </x:c>
      <x:c r="X156" s="10" t="n">
        <x:v>365.746993</x:v>
      </x:c>
      <x:c r="Y156" s="10" t="n">
        <x:v>634.886481</x:v>
      </x:c>
      <x:c r="Z156" s="10" t="n">
        <x:v>827.27298</x:v>
      </x:c>
      <x:c r="AA156" s="10" t="n">
        <x:v>619.534056</x:v>
      </x:c>
      <x:c r="AB156" s="10" t="n">
        <x:v>444.884021</x:v>
      </x:c>
      <x:c r="AC156" s="10" t="n">
        <x:v>747.041747</x:v>
      </x:c>
      <x:c r="AD156" s="10" t="n">
        <x:v>804.436376</x:v>
      </x:c>
      <x:c r="AE156" s="10" t="n">
        <x:f>IF(A156=B156,0,AVERAGE(E156:Q156))</x:f>
        <x:v>255.24763207692305</x:v>
      </x:c>
      <x:c r="AF156" s="10" t="n">
        <x:f>IF(A156=B156,0,AVERAGE(R156:AD156))</x:f>
        <x:v>463.674924</x:v>
      </x:c>
      <x:c r="AG156" s="10" t="n">
        <x:f>AE156+AF156</x:f>
        <x:v>718.922556076923</x:v>
      </x:c>
    </x:row>
    <x:row r="157">
      <x:c r="A157" t="str">
        <x:v>TR</x:v>
      </x:c>
      <x:c r="B157" t="str">
        <x:v>BR</x:v>
      </x:c>
      <x:c r="C157" t="str">
        <x:v>Türkiye, Republic of</x:v>
      </x:c>
      <x:c r="D157" t="str">
        <x:v>Brazil</x:v>
      </x:c>
      <x:c r="E157" s="10" t="n">
        <x:v>41.679353</x:v>
      </x:c>
      <x:c r="F157" s="10" t="n">
        <x:v>89.817583</x:v>
      </x:c>
      <x:c r="G157" s="10" t="n">
        <x:v>48.978714</x:v>
      </x:c>
      <x:c r="H157" s="10" t="n">
        <x:v>50.165495</x:v>
      </x:c>
      <x:c r="I157" s="10" t="n">
        <x:v>69.355258</x:v>
      </x:c>
      <x:c r="J157" s="10" t="n">
        <x:v>103.457889</x:v>
      </x:c>
      <x:c r="K157" s="10" t="n">
        <x:v>121.881519</x:v>
      </x:c>
      <x:c r="L157" s="10" t="n">
        <x:v>229.866838</x:v>
      </x:c>
      <x:c r="M157" s="10" t="n">
        <x:v>318.02748</x:v>
      </x:c>
      <x:c r="N157" s="10" t="n">
        <x:v>388.243612</x:v>
      </x:c>
      <x:c r="O157" s="10" t="n">
        <x:v>614.551</x:v>
      </x:c>
      <x:c r="P157" s="10" t="n">
        <x:v>883.471294</x:v>
      </x:c>
      <x:c r="Q157" s="10" t="n">
        <x:v>1002.759403</x:v>
      </x:c>
      <x:c r="R157" s="10" t="n">
        <x:v>302.50507</x:v>
      </x:c>
      <x:c r="S157" s="10" t="n">
        <x:v>212.12109</x:v>
      </x:c>
      <x:c r="T157" s="10" t="n">
        <x:v>236.091178</x:v>
      </x:c>
      <x:c r="U157" s="10" t="n">
        <x:v>401.82609</x:v>
      </x:c>
      <x:c r="V157" s="10" t="n">
        <x:v>566.08385</x:v>
      </x:c>
      <x:c r="W157" s="10" t="n">
        <x:v>796.889727</x:v>
      </x:c>
      <x:c r="X157" s="10" t="n">
        <x:v>933.903538</x:v>
      </x:c>
      <x:c r="Y157" s="10" t="n">
        <x:v>1172.60187</x:v>
      </x:c>
      <x:c r="Z157" s="10" t="n">
        <x:v>1423.867764</x:v>
      </x:c>
      <x:c r="AA157" s="10" t="n">
        <x:v>1105.88997</x:v>
      </x:c>
      <x:c r="AB157" s="10" t="n">
        <x:v>1347.52494</x:v>
      </x:c>
      <x:c r="AC157" s="10" t="n">
        <x:v>2074.353931</x:v>
      </x:c>
      <x:c r="AD157" s="10" t="n">
        <x:v>1770.09412</x:v>
      </x:c>
      <x:c r="AE157" s="10" t="n">
        <x:f>IF(A157=B157,0,AVERAGE(E157:Q157))</x:f>
        <x:v>304.78887984615386</x:v>
      </x:c>
      <x:c r="AF157" s="10" t="n">
        <x:f>IF(A157=B157,0,AVERAGE(R157:AD157))</x:f>
        <x:v>949.519472153846</x:v>
      </x:c>
      <x:c r="AG157" s="10" t="n">
        <x:f>AE157+AF157</x:f>
        <x:v>1254.3083519999998</x:v>
      </x:c>
    </x:row>
    <x:row r="158">
      <x:c r="A158" t="str">
        <x:v>TR</x:v>
      </x:c>
      <x:c r="B158" t="str">
        <x:v>CA</x:v>
      </x:c>
      <x:c r="C158" t="str">
        <x:v>Türkiye, Republic of</x:v>
      </x:c>
      <x:c r="D158" t="str">
        <x:v>Canada</x:v>
      </x:c>
      <x:c r="E158" s="10" t="n">
        <x:v>173.386972</x:v>
      </x:c>
      <x:c r="F158" s="10" t="n">
        <x:v>171.707559</x:v>
      </x:c>
      <x:c r="G158" s="10" t="n">
        <x:v>239.867824</x:v>
      </x:c>
      <x:c r="H158" s="10" t="n">
        <x:v>221.323026</x:v>
      </x:c>
      <x:c r="I158" s="10" t="n">
        <x:v>341.736629</x:v>
      </x:c>
      <x:c r="J158" s="10" t="n">
        <x:v>364.785511</x:v>
      </x:c>
      <x:c r="K158" s="10" t="n">
        <x:v>378.542135</x:v>
      </x:c>
      <x:c r="L158" s="10" t="n">
        <x:v>369.818378</x:v>
      </x:c>
      <x:c r="M158" s="10" t="n">
        <x:v>501.428354</x:v>
      </x:c>
      <x:c r="N158" s="10" t="n">
        <x:v>338.283294</x:v>
      </x:c>
      <x:c r="O158" s="10" t="n">
        <x:v>479.504668</x:v>
      </x:c>
      <x:c r="P158" s="10" t="n">
        <x:v>875.22089</x:v>
      </x:c>
      <x:c r="Q158" s="10" t="n">
        <x:v>1058.280527</x:v>
      </x:c>
      <x:c r="R158" s="10" t="n">
        <x:v>256.43468</x:v>
      </x:c>
      <x:c r="S158" s="10" t="n">
        <x:v>129.14234</x:v>
      </x:c>
      <x:c r="T158" s="10" t="n">
        <x:v>321.485176</x:v>
      </x:c>
      <x:c r="U158" s="10" t="n">
        <x:v>244.880868</x:v>
      </x:c>
      <x:c r="V158" s="10" t="n">
        <x:v>368.683912</x:v>
      </x:c>
      <x:c r="W158" s="10" t="n">
        <x:v>444.254291</x:v>
      </x:c>
      <x:c r="X158" s="10" t="n">
        <x:v>674.652424</x:v>
      </x:c>
      <x:c r="Y158" s="10" t="n">
        <x:v>866.300223</x:v>
      </x:c>
      <x:c r="Z158" s="10" t="n">
        <x:v>1427.999518</x:v>
      </x:c>
      <x:c r="AA158" s="10" t="n">
        <x:v>937.364755</x:v>
      </x:c>
      <x:c r="AB158" s="10" t="n">
        <x:v>915.317047</x:v>
      </x:c>
      <x:c r="AC158" s="10" t="n">
        <x:v>1311.540466</x:v>
      </x:c>
      <x:c r="AD158" s="10" t="n">
        <x:v>953.716582</x:v>
      </x:c>
      <x:c r="AE158" s="10" t="n">
        <x:f>IF(A158=B158,0,AVERAGE(E158:Q158))</x:f>
        <x:v>424.14505900000006</x:v>
      </x:c>
      <x:c r="AF158" s="10" t="n">
        <x:f>IF(A158=B158,0,AVERAGE(R158:AD158))</x:f>
        <x:v>680.905560153846</x:v>
      </x:c>
      <x:c r="AG158" s="10" t="n">
        <x:f>AE158+AF158</x:f>
        <x:v>1105.0506191538461</x:v>
      </x:c>
    </x:row>
    <x:row r="159">
      <x:c r="A159" t="str">
        <x:v>TR</x:v>
      </x:c>
      <x:c r="B159" t="str">
        <x:v>CH</x:v>
      </x:c>
      <x:c r="C159" t="str">
        <x:v>Türkiye, Republic of</x:v>
      </x:c>
      <x:c r="D159" t="str">
        <x:v>Switzerland</x:v>
      </x:c>
      <x:c r="E159" s="10" t="n">
        <x:v>238.684181</x:v>
      </x:c>
      <x:c r="F159" s="10" t="n">
        <x:v>242.613742</x:v>
      </x:c>
      <x:c r="G159" s="10" t="n">
        <x:v>289.085179</x:v>
      </x:c>
      <x:c r="H159" s="10" t="n">
        <x:v>352.971145</x:v>
      </x:c>
      <x:c r="I159" s="10" t="n">
        <x:v>436.234545</x:v>
      </x:c>
      <x:c r="J159" s="10" t="n">
        <x:v>553.45722</x:v>
      </x:c>
      <x:c r="K159" s="10" t="n">
        <x:v>900.883229</x:v>
      </x:c>
      <x:c r="L159" s="10" t="n">
        <x:v>935.054837</x:v>
      </x:c>
      <x:c r="M159" s="10" t="n">
        <x:v>2859.431523</x:v>
      </x:c>
      <x:c r="N159" s="10" t="n">
        <x:v>3937.062111</x:v>
      </x:c>
      <x:c r="O159" s="10" t="n">
        <x:v>2065.015263</x:v>
      </x:c>
      <x:c r="P159" s="10" t="n">
        <x:v>1493.982948</x:v>
      </x:c>
      <x:c r="Q159" s="10" t="n">
        <x:v>2134.517373</x:v>
      </x:c>
      <x:c r="R159" s="10" t="n">
        <x:v>890.97685</x:v>
      </x:c>
      <x:c r="S159" s="10" t="n">
        <x:v>1227.42155</x:v>
      </x:c>
      <x:c r="T159" s="10" t="n">
        <x:v>2142.746905</x:v>
      </x:c>
      <x:c r="U159" s="10" t="n">
        <x:v>2968.186678</x:v>
      </x:c>
      <x:c r="V159" s="10" t="n">
        <x:v>3404.495637</x:v>
      </x:c>
      <x:c r="W159" s="10" t="n">
        <x:v>4053.558074</x:v>
      </x:c>
      <x:c r="X159" s="10" t="n">
        <x:v>4012.869533</x:v>
      </x:c>
      <x:c r="Y159" s="10" t="n">
        <x:v>5268.742806</x:v>
      </x:c>
      <x:c r="Z159" s="10" t="n">
        <x:v>5591.780552</x:v>
      </x:c>
      <x:c r="AA159" s="10" t="n">
        <x:v>2001.886017</x:v>
      </x:c>
      <x:c r="AB159" s="10" t="n">
        <x:v>3155.725933</x:v>
      </x:c>
      <x:c r="AC159" s="10" t="n">
        <x:v>5021.486701</x:v>
      </x:c>
      <x:c r="AD159" s="10" t="n">
        <x:v>4307.344391</x:v>
      </x:c>
      <x:c r="AE159" s="10" t="n">
        <x:f>IF(A159=B159,0,AVERAGE(E159:Q159))</x:f>
        <x:v>1264.537945846154</x:v>
      </x:c>
      <x:c r="AF159" s="10" t="n">
        <x:f>IF(A159=B159,0,AVERAGE(R159:AD159))</x:f>
        <x:v>3388.247817461539</x:v>
      </x:c>
      <x:c r="AG159" s="10" t="n">
        <x:f>AE159+AF159</x:f>
        <x:v>4652.785763307693</x:v>
      </x:c>
    </x:row>
    <x:row r="160">
      <x:c r="A160" t="str">
        <x:v>TR</x:v>
      </x:c>
      <x:c r="B160" t="str">
        <x:v>CN</x:v>
      </x:c>
      <x:c r="C160" t="str">
        <x:v>Türkiye, Republic of</x:v>
      </x:c>
      <x:c r="D160" t="str">
        <x:v>China, People's Republic of</x:v>
      </x:c>
      <x:c r="E160" s="10" t="n">
        <x:v>96.010398</x:v>
      </x:c>
      <x:c r="F160" s="10" t="n">
        <x:v>199.372814</x:v>
      </x:c>
      <x:c r="G160" s="10" t="n">
        <x:v>268.229485</x:v>
      </x:c>
      <x:c r="H160" s="10" t="n">
        <x:v>504.625797</x:v>
      </x:c>
      <x:c r="I160" s="10" t="n">
        <x:v>391.585394</x:v>
      </x:c>
      <x:c r="J160" s="10" t="n">
        <x:v>549.763633</x:v>
      </x:c>
      <x:c r="K160" s="10" t="n">
        <x:v>693.037514</x:v>
      </x:c>
      <x:c r="L160" s="10" t="n">
        <x:v>1038.960063</x:v>
      </x:c>
      <x:c r="M160" s="10" t="n">
        <x:v>1437.203856</x:v>
      </x:c>
      <x:c r="N160" s="10" t="n">
        <x:v>1599.139388</x:v>
      </x:c>
      <x:c r="O160" s="10" t="n">
        <x:v>2269.175473</x:v>
      </x:c>
      <x:c r="P160" s="10" t="n">
        <x:v>2466.316097</x:v>
      </x:c>
      <x:c r="Q160" s="10" t="n">
        <x:v>2833.25527</x:v>
      </x:c>
      <x:c r="R160" s="10" t="n">
        <x:v>1344.7314</x:v>
      </x:c>
      <x:c r="S160" s="10" t="n">
        <x:v>925.61983</x:v>
      </x:c>
      <x:c r="T160" s="10" t="n">
        <x:v>1368.316717</x:v>
      </x:c>
      <x:c r="U160" s="10" t="n">
        <x:v>2610.298044</x:v>
      </x:c>
      <x:c r="V160" s="10" t="n">
        <x:v>4464.139592</x:v>
      </x:c>
      <x:c r="W160" s="10" t="n">
        <x:v>6867.855947</x:v>
      </x:c>
      <x:c r="X160" s="10" t="n">
        <x:v>9656.74072</x:v>
      </x:c>
      <x:c r="Y160" s="10" t="n">
        <x:v>13224.129124</x:v>
      </x:c>
      <x:c r="Z160" s="10" t="n">
        <x:v>15658.210407</x:v>
      </x:c>
      <x:c r="AA160" s="10" t="n">
        <x:v>12676.57276</x:v>
      </x:c>
      <x:c r="AB160" s="10" t="n">
        <x:v>17180.806446</x:v>
      </x:c>
      <x:c r="AC160" s="10" t="n">
        <x:v>21693.335513</x:v>
      </x:c>
      <x:c r="AD160" s="10" t="n">
        <x:v>21295.24183</x:v>
      </x:c>
      <x:c r="AE160" s="10" t="n">
        <x:f>IF(A160=B160,0,AVERAGE(E160:Q160))</x:f>
        <x:v>1103.5903986153844</x:v>
      </x:c>
      <x:c r="AF160" s="10" t="n">
        <x:f>IF(A160=B160,0,AVERAGE(R160:AD160))</x:f>
        <x:v>9920.46141</x:v>
      </x:c>
      <x:c r="AG160" s="10" t="n">
        <x:f>AE160+AF160</x:f>
        <x:v>11024.051808615384</x:v>
      </x:c>
    </x:row>
    <x:row r="161">
      <x:c r="A161" t="str">
        <x:v>TR</x:v>
      </x:c>
      <x:c r="B161" t="str">
        <x:v>EA</x:v>
      </x:c>
      <x:c r="C161" t="str">
        <x:v>Türkiye, Republic of</x:v>
      </x:c>
      <x:c r="D161" t="str">
        <x:v>Euro Area (EA)</x:v>
      </x:c>
      <x:c r="E161" s="10" t="n">
        <x:v>12267.794915</x:v>
      </x:c>
      <x:c r="F161" s="10" t="n">
        <x:v>13702.771011</x:v>
      </x:c>
      <x:c r="G161" s="10" t="n">
        <x:v>15153.243347</x:v>
      </x:c>
      <x:c r="H161" s="10" t="n">
        <x:v>20447.129765</x:v>
      </x:c>
      <x:c r="I161" s="10" t="n">
        <x:v>26511.013047</x:v>
      </x:c>
      <x:c r="J161" s="10" t="n">
        <x:v>29756.826436</x:v>
      </x:c>
      <x:c r="K161" s="10" t="n">
        <x:v>33874.938353</x:v>
      </x:c>
      <x:c r="L161" s="10" t="n">
        <x:v>41741.224473</x:v>
      </x:c>
      <x:c r="M161" s="10" t="n">
        <x:v>44581.925745</x:v>
      </x:c>
      <x:c r="N161" s="10" t="n">
        <x:v>33998.380438</x:v>
      </x:c>
      <x:c r="O161" s="10" t="n">
        <x:v>37254.940255</x:v>
      </x:c>
      <x:c r="P161" s="10" t="n">
        <x:v>44723.531304</x:v>
      </x:c>
      <x:c r="Q161" s="10" t="n">
        <x:v>41201.447858</x:v>
      </x:c>
      <x:c r="R161" s="10" t="n">
        <x:v>22488.61534</x:v>
      </x:c>
      <x:c r="S161" s="10" t="n">
        <x:v>15831.04045</x:v>
      </x:c>
      <x:c r="T161" s="10" t="n">
        <x:v>20373.926665</x:v>
      </x:c>
      <x:c r="U161" s="10" t="n">
        <x:v>27568.031145</x:v>
      </x:c>
      <x:c r="V161" s="10" t="n">
        <x:v>37329.483477</x:v>
      </x:c>
      <x:c r="W161" s="10" t="n">
        <x:v>39801.091459</x:v>
      </x:c>
      <x:c r="X161" s="10" t="n">
        <x:v>44600.181716</x:v>
      </x:c>
      <x:c r="Y161" s="10" t="n">
        <x:v>51523.583069</x:v>
      </x:c>
      <x:c r="Z161" s="10" t="n">
        <x:v>56818.289455</x:v>
      </x:c>
      <x:c r="AA161" s="10" t="n">
        <x:v>43538.714759</x:v>
      </x:c>
      <x:c r="AB161" s="10" t="n">
        <x:v>54692.485739</x:v>
      </x:c>
      <x:c r="AC161" s="10" t="n">
        <x:v>69562.911832</x:v>
      </x:c>
      <x:c r="AD161" s="10" t="n">
        <x:v>66935.268648</x:v>
      </x:c>
      <x:c r="AE161" s="10" t="n">
        <x:f>IF(A161=B161,0,AVERAGE(E161:Q161))</x:f>
        <x:v>30401.166688230776</x:v>
      </x:c>
      <x:c r="AF161" s="10" t="n">
        <x:f>IF(A161=B161,0,AVERAGE(R161:AD161))</x:f>
        <x:v>42389.509519538464</x:v>
      </x:c>
      <x:c r="AG161" s="10" t="n">
        <x:f>AE161+AF161</x:f>
        <x:v>72790.67620776924</x:v>
      </x:c>
    </x:row>
    <x:row r="162">
      <x:c r="A162" t="str">
        <x:v>TR</x:v>
      </x:c>
      <x:c r="B162" t="str">
        <x:v>UK</x:v>
      </x:c>
      <x:c r="C162" t="str">
        <x:v>Türkiye, Republic of</x:v>
      </x:c>
      <x:c r="D162" t="str">
        <x:v>United Kingdom</x:v>
      </x:c>
      <x:c r="E162" s="10" t="n">
        <x:v>2036.825739</x:v>
      </x:c>
      <x:c r="F162" s="10" t="n">
        <x:v>2174.89167</x:v>
      </x:c>
      <x:c r="G162" s="10" t="n">
        <x:v>3024.941527</x:v>
      </x:c>
      <x:c r="H162" s="10" t="n">
        <x:v>3670.092528</x:v>
      </x:c>
      <x:c r="I162" s="10" t="n">
        <x:v>5540.39686</x:v>
      </x:c>
      <x:c r="J162" s="10" t="n">
        <x:v>5917.162703</x:v>
      </x:c>
      <x:c r="K162" s="10" t="n">
        <x:v>6813.044068</x:v>
      </x:c>
      <x:c r="L162" s="10" t="n">
        <x:v>8626.338663</x:v>
      </x:c>
      <x:c r="M162" s="10" t="n">
        <x:v>8158.669011</x:v>
      </x:c>
      <x:c r="N162" s="10" t="n">
        <x:v>5915.168824</x:v>
      </x:c>
      <x:c r="O162" s="10" t="n">
        <x:v>7235.861129</x:v>
      </x:c>
      <x:c r="P162" s="10" t="n">
        <x:v>8151.430057</x:v>
      </x:c>
      <x:c r="Q162" s="10" t="n">
        <x:v>8693.598733</x:v>
      </x:c>
      <x:c r="R162" s="10" t="n">
        <x:v>2747.74624</x:v>
      </x:c>
      <x:c r="S162" s="10" t="n">
        <x:v>1913.84603</x:v>
      </x:c>
      <x:c r="T162" s="10" t="n">
        <x:v>2438.296458</x:v>
      </x:c>
      <x:c r="U162" s="10" t="n">
        <x:v>3500.01522</x:v>
      </x:c>
      <x:c r="V162" s="10" t="n">
        <x:v>4316.870451</x:v>
      </x:c>
      <x:c r="W162" s="10" t="n">
        <x:v>4690.129437</x:v>
      </x:c>
      <x:c r="X162" s="10" t="n">
        <x:v>5134.405831</x:v>
      </x:c>
      <x:c r="Y162" s="10" t="n">
        <x:v>5471.205855</x:v>
      </x:c>
      <x:c r="Z162" s="10" t="n">
        <x:v>5324.034215</x:v>
      </x:c>
      <x:c r="AA162" s="10" t="n">
        <x:v>3473.433486</x:v>
      </x:c>
      <x:c r="AB162" s="10" t="n">
        <x:v>4680.611329</x:v>
      </x:c>
      <x:c r="AC162" s="10" t="n">
        <x:v>5840.37978</x:v>
      </x:c>
      <x:c r="AD162" s="10" t="n">
        <x:v>5629.454631</x:v>
      </x:c>
      <x:c r="AE162" s="10" t="n">
        <x:f>IF(A162=B162,0,AVERAGE(E162:Q162))</x:f>
        <x:v>5842.955500923077</x:v>
      </x:c>
      <x:c r="AF162" s="10" t="n">
        <x:f>IF(A162=B162,0,AVERAGE(R162:AD162))</x:f>
        <x:v>4243.109920230769</x:v>
      </x:c>
      <x:c r="AG162" s="10" t="n">
        <x:f>AE162+AF162</x:f>
        <x:v>10086.065421153846</x:v>
      </x:c>
    </x:row>
    <x:row r="163">
      <x:c r="A163" t="str">
        <x:v>TR</x:v>
      </x:c>
      <x:c r="B163" t="str">
        <x:v>JP</x:v>
      </x:c>
      <x:c r="C163" t="str">
        <x:v>Türkiye, Republic of</x:v>
      </x:c>
      <x:c r="D163" t="str">
        <x:v>Japan</x:v>
      </x:c>
      <x:c r="E163" s="10" t="n">
        <x:v>149.489056</x:v>
      </x:c>
      <x:c r="F163" s="10" t="n">
        <x:v>124.064598</x:v>
      </x:c>
      <x:c r="G163" s="10" t="n">
        <x:v>129.979685</x:v>
      </x:c>
      <x:c r="H163" s="10" t="n">
        <x:v>156.287904</x:v>
      </x:c>
      <x:c r="I163" s="10" t="n">
        <x:v>190.116694</x:v>
      </x:c>
      <x:c r="J163" s="10" t="n">
        <x:v>234.227399</x:v>
      </x:c>
      <x:c r="K163" s="10" t="n">
        <x:v>263.084344</x:v>
      </x:c>
      <x:c r="L163" s="10" t="n">
        <x:v>246.837684</x:v>
      </x:c>
      <x:c r="M163" s="10" t="n">
        <x:v>330.461943</x:v>
      </x:c>
      <x:c r="N163" s="10" t="n">
        <x:v>232.846793</x:v>
      </x:c>
      <x:c r="O163" s="10" t="n">
        <x:v>272.218627</x:v>
      </x:c>
      <x:c r="P163" s="10" t="n">
        <x:v>296.413302</x:v>
      </x:c>
      <x:c r="Q163" s="10" t="n">
        <x:v>331.76165</x:v>
      </x:c>
      <x:c r="R163" s="10" t="n">
        <x:v>1620.56103</x:v>
      </x:c>
      <x:c r="S163" s="10" t="n">
        <x:v>1307.3724</x:v>
      </x:c>
      <x:c r="T163" s="10" t="n">
        <x:v>1465.506542</x:v>
      </x:c>
      <x:c r="U163" s="10" t="n">
        <x:v>1927.096261</x:v>
      </x:c>
      <x:c r="V163" s="10" t="n">
        <x:v>2683.456425</x:v>
      </x:c>
      <x:c r="W163" s="10" t="n">
        <x:v>3107.254067</x:v>
      </x:c>
      <x:c r="X163" s="10" t="n">
        <x:v>3215.141906</x:v>
      </x:c>
      <x:c r="Y163" s="10" t="n">
        <x:v>3702.848778</x:v>
      </x:c>
      <x:c r="Z163" s="10" t="n">
        <x:v>4026.76449</x:v>
      </x:c>
      <x:c r="AA163" s="10" t="n">
        <x:v>2781.971052</x:v>
      </x:c>
      <x:c r="AB163" s="10" t="n">
        <x:v>3297.796203</x:v>
      </x:c>
      <x:c r="AC163" s="10" t="n">
        <x:v>4263.730434</x:v>
      </x:c>
      <x:c r="AD163" s="10" t="n">
        <x:v>3601.427435</x:v>
      </x:c>
      <x:c r="AE163" s="10" t="n">
        <x:f>IF(A163=B163,0,AVERAGE(E163:Q163))</x:f>
        <x:v>227.522283</x:v>
      </x:c>
      <x:c r="AF163" s="10" t="n">
        <x:f>IF(A163=B163,0,AVERAGE(R163:AD163))</x:f>
        <x:v>2846.225155615384</x:v>
      </x:c>
      <x:c r="AG163" s="10" t="n">
        <x:f>AE163+AF163</x:f>
        <x:v>3073.747438615384</x:v>
      </x:c>
    </x:row>
    <x:row r="164">
      <x:c r="A164" t="str">
        <x:v>TR</x:v>
      </x:c>
      <x:c r="B164" t="str">
        <x:v>KR</x:v>
      </x:c>
      <x:c r="C164" t="str">
        <x:v>Türkiye, Republic of</x:v>
      </x:c>
      <x:c r="D164" t="str">
        <x:v>Korea, Republic of</x:v>
      </x:c>
      <x:c r="E164" s="10" t="n">
        <x:v>130.105904</x:v>
      </x:c>
      <x:c r="F164" s="10" t="n">
        <x:v>62.364456</x:v>
      </x:c>
      <x:c r="G164" s="10" t="n">
        <x:v>54.829934</x:v>
      </x:c>
      <x:c r="H164" s="10" t="n">
        <x:v>57.928027</x:v>
      </x:c>
      <x:c r="I164" s="10" t="n">
        <x:v>79.623159</x:v>
      </x:c>
      <x:c r="J164" s="10" t="n">
        <x:v>99.770845</x:v>
      </x:c>
      <x:c r="K164" s="10" t="n">
        <x:v>155.965841</x:v>
      </x:c>
      <x:c r="L164" s="10" t="n">
        <x:v>152.285395</x:v>
      </x:c>
      <x:c r="M164" s="10" t="n">
        <x:v>271.254336</x:v>
      </x:c>
      <x:c r="N164" s="10" t="n">
        <x:v>234.822261</x:v>
      </x:c>
      <x:c r="O164" s="10" t="n">
        <x:v>304.300609</x:v>
      </x:c>
      <x:c r="P164" s="10" t="n">
        <x:v>528.506894</x:v>
      </x:c>
      <x:c r="Q164" s="10" t="n">
        <x:v>527.993444</x:v>
      </x:c>
      <x:c r="R164" s="10" t="n">
        <x:v>1180.94216</x:v>
      </x:c>
      <x:c r="S164" s="10" t="n">
        <x:v>759.4986</x:v>
      </x:c>
      <x:c r="T164" s="10" t="n">
        <x:v>900.418622</x:v>
      </x:c>
      <x:c r="U164" s="10" t="n">
        <x:v>1312.442226</x:v>
      </x:c>
      <x:c r="V164" s="10" t="n">
        <x:v>2572.13778</x:v>
      </x:c>
      <x:c r="W164" s="10" t="n">
        <x:v>3478.865289</x:v>
      </x:c>
      <x:c r="X164" s="10" t="n">
        <x:v>3551.6303</x:v>
      </x:c>
      <x:c r="Y164" s="10" t="n">
        <x:v>4368.697283</x:v>
      </x:c>
      <x:c r="Z164" s="10" t="n">
        <x:v>4091.711184</x:v>
      </x:c>
      <x:c r="AA164" s="10" t="n">
        <x:v>3118.213745</x:v>
      </x:c>
      <x:c r="AB164" s="10" t="n">
        <x:v>4764.056727</x:v>
      </x:c>
      <x:c r="AC164" s="10" t="n">
        <x:v>6298.482762</x:v>
      </x:c>
      <x:c r="AD164" s="10" t="n">
        <x:v>5660.093072</x:v>
      </x:c>
      <x:c r="AE164" s="10" t="n">
        <x:f>IF(A164=B164,0,AVERAGE(E164:Q164))</x:f>
        <x:v>204.59623884615388</x:v>
      </x:c>
      <x:c r="AF164" s="10" t="n">
        <x:f>IF(A164=B164,0,AVERAGE(R164:AD164))</x:f>
        <x:v>3235.1684423076927</x:v>
      </x:c>
      <x:c r="AG164" s="10" t="n">
        <x:f>AE164+AF164</x:f>
        <x:v>3439.7646811538466</x:v>
      </x:c>
    </x:row>
    <x:row r="165">
      <x:c r="A165" t="str">
        <x:v>TR</x:v>
      </x:c>
      <x:c r="B165" t="str">
        <x:v>NO</x:v>
      </x:c>
      <x:c r="C165" t="str">
        <x:v>Türkiye, Republic of</x:v>
      </x:c>
      <x:c r="D165" t="str">
        <x:v>Norway</x:v>
      </x:c>
      <x:c r="E165" s="10" t="n">
        <x:v>80.476694</x:v>
      </x:c>
      <x:c r="F165" s="10" t="n">
        <x:v>70.291399</x:v>
      </x:c>
      <x:c r="G165" s="10" t="n">
        <x:v>115.224166</x:v>
      </x:c>
      <x:c r="H165" s="10" t="n">
        <x:v>171.419646</x:v>
      </x:c>
      <x:c r="I165" s="10" t="n">
        <x:v>206.258337</x:v>
      </x:c>
      <x:c r="J165" s="10" t="n">
        <x:v>245.164826</x:v>
      </x:c>
      <x:c r="K165" s="10" t="n">
        <x:v>260.87613</x:v>
      </x:c>
      <x:c r="L165" s="10" t="n">
        <x:v>375.221574</x:v>
      </x:c>
      <x:c r="M165" s="10" t="n">
        <x:v>391.174156</x:v>
      </x:c>
      <x:c r="N165" s="10" t="n">
        <x:v>384.274105</x:v>
      </x:c>
      <x:c r="O165" s="10" t="n">
        <x:v>343.911372</x:v>
      </x:c>
      <x:c r="P165" s="10" t="n">
        <x:v>379.523021</x:v>
      </x:c>
      <x:c r="Q165" s="10" t="n">
        <x:v>450.621075</x:v>
      </x:c>
      <x:c r="R165" s="10" t="n">
        <x:v>260.28456</x:v>
      </x:c>
      <x:c r="S165" s="10" t="n">
        <x:v>251.38779</x:v>
      </x:c>
      <x:c r="T165" s="10" t="n">
        <x:v>365.834782</x:v>
      </x:c>
      <x:c r="U165" s="10" t="n">
        <x:v>423.181136</x:v>
      </x:c>
      <x:c r="V165" s="10" t="n">
        <x:v>473.853292</x:v>
      </x:c>
      <x:c r="W165" s="10" t="n">
        <x:v>373.274959</x:v>
      </x:c>
      <x:c r="X165" s="10" t="n">
        <x:v>496.242699</x:v>
      </x:c>
      <x:c r="Y165" s="10" t="n">
        <x:v>495.564479</x:v>
      </x:c>
      <x:c r="Z165" s="10" t="n">
        <x:v>622.659386</x:v>
      </x:c>
      <x:c r="AA165" s="10" t="n">
        <x:v>771.741496</x:v>
      </x:c>
      <x:c r="AB165" s="10" t="n">
        <x:v>828.587677</x:v>
      </x:c>
      <x:c r="AC165" s="10" t="n">
        <x:v>796.292499</x:v>
      </x:c>
      <x:c r="AD165" s="10" t="n">
        <x:v>916.821173</x:v>
      </x:c>
      <x:c r="AE165" s="10" t="n">
        <x:f>IF(A165=B165,0,AVERAGE(E165:Q165))</x:f>
        <x:v>267.26434623076926</x:v>
      </x:c>
      <x:c r="AF165" s="10" t="n">
        <x:f>IF(A165=B165,0,AVERAGE(R165:AD165))</x:f>
        <x:v>544.2866098461539</x:v>
      </x:c>
      <x:c r="AG165" s="10" t="n">
        <x:f>AE165+AF165</x:f>
        <x:v>811.5509560769231</x:v>
      </x:c>
    </x:row>
    <x:row r="166">
      <x:c r="A166" t="str">
        <x:v>TR</x:v>
      </x:c>
      <x:c r="B166" t="str">
        <x:v>SG</x:v>
      </x:c>
      <x:c r="C166" t="str">
        <x:v>Türkiye, Republic of</x:v>
      </x:c>
      <x:c r="D166" t="str">
        <x:v>Singapore</x:v>
      </x:c>
      <x:c r="E166" s="10" t="n">
        <x:v>125.504094</x:v>
      </x:c>
      <x:c r="F166" s="10" t="n">
        <x:v>104.575678</x:v>
      </x:c>
      <x:c r="G166" s="10" t="n">
        <x:v>98.734258</x:v>
      </x:c>
      <x:c r="H166" s="10" t="n">
        <x:v>100.481663</x:v>
      </x:c>
      <x:c r="I166" s="10" t="n">
        <x:v>76.021952</x:v>
      </x:c>
      <x:c r="J166" s="10" t="n">
        <x:v>78.754595</x:v>
      </x:c>
      <x:c r="K166" s="10" t="n">
        <x:v>357.281332</x:v>
      </x:c>
      <x:c r="L166" s="10" t="n">
        <x:v>389.768982</x:v>
      </x:c>
      <x:c r="M166" s="10" t="n">
        <x:v>793.091717</x:v>
      </x:c>
      <x:c r="N166" s="10" t="n">
        <x:v>348.005765</x:v>
      </x:c>
      <x:c r="O166" s="10" t="n">
        <x:v>594.02679</x:v>
      </x:c>
      <x:c r="P166" s="10" t="n">
        <x:v>840.071858</x:v>
      </x:c>
      <x:c r="Q166" s="10" t="n">
        <x:v>443.632104</x:v>
      </x:c>
      <x:c r="R166" s="10" t="n">
        <x:v>154.52206</x:v>
      </x:c>
      <x:c r="S166" s="10" t="n">
        <x:v>110.70832</x:v>
      </x:c>
      <x:c r="T166" s="10" t="n">
        <x:v>131.625606</x:v>
      </x:c>
      <x:c r="U166" s="10" t="n">
        <x:v>130.401906</x:v>
      </x:c>
      <x:c r="V166" s="10" t="n">
        <x:v>174.741379</x:v>
      </x:c>
      <x:c r="W166" s="10" t="n">
        <x:v>216.460026</x:v>
      </x:c>
      <x:c r="X166" s="10" t="n">
        <x:v>254.142187</x:v>
      </x:c>
      <x:c r="Y166" s="10" t="n">
        <x:v>284.468504</x:v>
      </x:c>
      <x:c r="Z166" s="10" t="n">
        <x:v>241.255031</x:v>
      </x:c>
      <x:c r="AA166" s="10" t="n">
        <x:v>202.473239</x:v>
      </x:c>
      <x:c r="AB166" s="10" t="n">
        <x:v>210.769479</x:v>
      </x:c>
      <x:c r="AC166" s="10" t="n">
        <x:v>354.25352</x:v>
      </x:c>
      <x:c r="AD166" s="10" t="n">
        <x:v>222.535206</x:v>
      </x:c>
      <x:c r="AE166" s="10" t="n">
        <x:f>IF(A166=B166,0,AVERAGE(E166:Q166))</x:f>
        <x:v>334.6115990769231</x:v>
      </x:c>
      <x:c r="AF166" s="10" t="n">
        <x:f>IF(A166=B166,0,AVERAGE(R166:AD166))</x:f>
        <x:v>206.79665099999997</x:v>
      </x:c>
      <x:c r="AG166" s="10" t="n">
        <x:f>AE166+AF166</x:f>
        <x:v>541.4082500769231</x:v>
      </x:c>
    </x:row>
    <x:row r="167">
      <x:c r="A167" t="str">
        <x:v>TR</x:v>
      </x:c>
      <x:c r="B167" t="str">
        <x:v>TR</x:v>
      </x:c>
      <x:c r="C167" t="str">
        <x:v>Türkiye, Republic of</x:v>
      </x:c>
      <x:c r="D167" t="str">
        <x:v>Türkiye, Republic of</x:v>
      </x:c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  <x:c r="AC167" s="10"/>
      <x:c r="AD167" s="10"/>
      <x:c r="AE167" s="10" t="n">
        <x:f>IF(A167=B167,0,AVERAGE(E167:Q167))</x:f>
        <x:v>0</x:v>
      </x:c>
      <x:c r="AF167" s="10" t="n">
        <x:f>IF(A167=B167,0,AVERAGE(R167:AD167))</x:f>
        <x:v>0</x:v>
      </x:c>
      <x:c r="AG167" s="10" t="n">
        <x:f>AE167+AF167</x:f>
        <x:v>0</x:v>
      </x:c>
    </x:row>
    <x:row r="168">
      <x:c r="A168" t="str">
        <x:v>TR</x:v>
      </x:c>
      <x:c r="B168" t="str">
        <x:v>US</x:v>
      </x:c>
      <x:c r="C168" t="str">
        <x:v>Türkiye, Republic of</x:v>
      </x:c>
      <x:c r="D168" t="str">
        <x:v>United States</x:v>
      </x:c>
      <x:c r="E168" s="10" t="n">
        <x:v>3139.213452</x:v>
      </x:c>
      <x:c r="F168" s="10" t="n">
        <x:v>3131.992678</x:v>
      </x:c>
      <x:c r="G168" s="10" t="n">
        <x:v>3361.869342</x:v>
      </x:c>
      <x:c r="H168" s="10" t="n">
        <x:v>3758.144574</x:v>
      </x:c>
      <x:c r="I168" s="10" t="n">
        <x:v>4839.528442</x:v>
      </x:c>
      <x:c r="J168" s="10" t="n">
        <x:v>4942.46937</x:v>
      </x:c>
      <x:c r="K168" s="10" t="n">
        <x:v>5100.327355</x:v>
      </x:c>
      <x:c r="L168" s="10" t="n">
        <x:v>4217.371846</x:v>
      </x:c>
      <x:c r="M168" s="10" t="n">
        <x:v>4398.097557</x:v>
      </x:c>
      <x:c r="N168" s="10" t="n">
        <x:v>3426.068923</x:v>
      </x:c>
      <x:c r="O168" s="10" t="n">
        <x:v>3840.68613</x:v>
      </x:c>
      <x:c r="P168" s="10" t="n">
        <x:v>4603.775089</x:v>
      </x:c>
      <x:c r="Q168" s="10" t="n">
        <x:v>5640.498296</x:v>
      </x:c>
      <x:c r="R168" s="10" t="n">
        <x:v>3913.23564</x:v>
      </x:c>
      <x:c r="S168" s="10" t="n">
        <x:v>3264.05192</x:v>
      </x:c>
      <x:c r="T168" s="10" t="n">
        <x:v>3100.454177</x:v>
      </x:c>
      <x:c r="U168" s="10" t="n">
        <x:v>3499.071172</x:v>
      </x:c>
      <x:c r="V168" s="10" t="n">
        <x:v>4698.667902</x:v>
      </x:c>
      <x:c r="W168" s="10" t="n">
        <x:v>5374.778898</x:v>
      </x:c>
      <x:c r="X168" s="10" t="n">
        <x:v>6257.675056</x:v>
      </x:c>
      <x:c r="Y168" s="10" t="n">
        <x:v>8145.430656</x:v>
      </x:c>
      <x:c r="Z168" s="10" t="n">
        <x:v>11977.061549</x:v>
      </x:c>
      <x:c r="AA168" s="10" t="n">
        <x:v>8584.597639</x:v>
      </x:c>
      <x:c r="AB168" s="10" t="n">
        <x:v>12323.004378</x:v>
      </x:c>
      <x:c r="AC168" s="10" t="n">
        <x:v>16043.313036</x:v>
      </x:c>
      <x:c r="AD168" s="10" t="n">
        <x:v>14130.62585</x:v>
      </x:c>
      <x:c r="AE168" s="10" t="n">
        <x:f>IF(A168=B168,0,AVERAGE(E168:Q168))</x:f>
        <x:v>4184.618696461539</x:v>
      </x:c>
      <x:c r="AF168" s="10" t="n">
        <x:f>IF(A168=B168,0,AVERAGE(R168:AD168))</x:f>
        <x:v>7793.228297923077</x:v>
      </x:c>
      <x:c r="AG168" s="10" t="n">
        <x:f>AE168+AF168</x:f>
        <x:v>11977.846994384616</x:v>
      </x:c>
    </x:row>
    <x:row r="169">
      <x:c r="A169" t="str">
        <x:v>TR</x:v>
      </x:c>
      <x:c r="B169" t="str">
        <x:v>ZA</x:v>
      </x:c>
      <x:c r="C169" t="str">
        <x:v>Türkiye, Republic of</x:v>
      </x:c>
      <x:c r="D169" t="str">
        <x:v>South Africa</x:v>
      </x:c>
      <x:c r="E169" s="10" t="n">
        <x:v>71.048535</x:v>
      </x:c>
      <x:c r="F169" s="10" t="n">
        <x:v>77.870741</x:v>
      </x:c>
      <x:c r="G169" s="10" t="n">
        <x:v>87.643677</x:v>
      </x:c>
      <x:c r="H169" s="10" t="n">
        <x:v>121.527865</x:v>
      </x:c>
      <x:c r="I169" s="10" t="n">
        <x:v>190.113321</x:v>
      </x:c>
      <x:c r="J169" s="10" t="n">
        <x:v>315.738879</x:v>
      </x:c>
      <x:c r="K169" s="10" t="n">
        <x:v>598.488644</x:v>
      </x:c>
      <x:c r="L169" s="10" t="n">
        <x:v>653.782533</x:v>
      </x:c>
      <x:c r="M169" s="10" t="n">
        <x:v>1238.631579</x:v>
      </x:c>
      <x:c r="N169" s="10" t="n">
        <x:v>866.731558</x:v>
      </x:c>
      <x:c r="O169" s="10" t="n">
        <x:v>369.234704</x:v>
      </x:c>
      <x:c r="P169" s="10" t="n">
        <x:v>510.523365</x:v>
      </x:c>
      <x:c r="Q169" s="10" t="n">
        <x:v>381.77197</x:v>
      </x:c>
      <x:c r="R169" s="10" t="n">
        <x:v>171.81022</x:v>
      </x:c>
      <x:c r="S169" s="10" t="n">
        <x:v>345.02817</x:v>
      </x:c>
      <x:c r="T169" s="10" t="n">
        <x:v>211.027138</x:v>
      </x:c>
      <x:c r="U169" s="10" t="n">
        <x:v>335.71263</x:v>
      </x:c>
      <x:c r="V169" s="10" t="n">
        <x:v>1003.548985</x:v>
      </x:c>
      <x:c r="W169" s="10" t="n">
        <x:v>1259.970466</x:v>
      </x:c>
      <x:c r="X169" s="10" t="n">
        <x:v>1793.107771</x:v>
      </x:c>
      <x:c r="Y169" s="10" t="n">
        <x:v>2172.243595</x:v>
      </x:c>
      <x:c r="Z169" s="10" t="n">
        <x:v>1502.49249</x:v>
      </x:c>
      <x:c r="AA169" s="10" t="n">
        <x:v>1103.312975</x:v>
      </x:c>
      <x:c r="AB169" s="10" t="n">
        <x:v>889.635176</x:v>
      </x:c>
      <x:c r="AC169" s="10" t="n">
        <x:v>1954.585941</x:v>
      </x:c>
      <x:c r="AD169" s="10" t="n">
        <x:v>1289.820599</x:v>
      </x:c>
      <x:c r="AE169" s="10" t="n">
        <x:f>IF(A169=B169,0,AVERAGE(E169:Q169))</x:f>
        <x:v>421.77749007692313</x:v>
      </x:c>
      <x:c r="AF169" s="10" t="n">
        <x:f>IF(A169=B169,0,AVERAGE(R169:AD169))</x:f>
        <x:v>1079.4073966153846</x:v>
      </x:c>
      <x:c r="AG169" s="10" t="n">
        <x:f>AE169+AF169</x:f>
        <x:v>1501.1848866923078</x:v>
      </x:c>
    </x:row>
    <x:row r="170">
      <x:c r="A170" t="str">
        <x:v>US</x:v>
      </x:c>
      <x:c r="B170" t="str">
        <x:v>AU</x:v>
      </x:c>
      <x:c r="C170" t="str">
        <x:v>United States</x:v>
      </x:c>
      <x:c r="D170" t="str">
        <x:v>Australia</x:v>
      </x:c>
      <x:c r="E170" s="10" t="n">
        <x:v>12331.8</x:v>
      </x:c>
      <x:c r="F170" s="10" t="n">
        <x:v>10944.9</x:v>
      </x:c>
      <x:c r="G170" s="10" t="n">
        <x:v>13084</x:v>
      </x:c>
      <x:c r="H170" s="10" t="n">
        <x:v>13104.1</x:v>
      </x:c>
      <x:c r="I170" s="10" t="n">
        <x:v>14270.9</x:v>
      </x:c>
      <x:c r="J170" s="10" t="n">
        <x:v>15771</x:v>
      </x:c>
      <x:c r="K170" s="10" t="n">
        <x:v>17782.3</x:v>
      </x:c>
      <x:c r="L170" s="10" t="n">
        <x:v>19206.8</x:v>
      </x:c>
      <x:c r="M170" s="10" t="n">
        <x:v>22456.8</x:v>
      </x:c>
      <x:c r="N170" s="10" t="n">
        <x:v>19604.4</x:v>
      </x:c>
      <x:c r="O170" s="10" t="n">
        <x:v>21806.9</x:v>
      </x:c>
      <x:c r="P170" s="10" t="n">
        <x:v>27626.547583</x:v>
      </x:c>
      <x:c r="Q170" s="10" t="n">
        <x:v>31161.878595</x:v>
      </x:c>
      <x:c r="R170" s="10" t="n">
        <x:v>6692.7</x:v>
      </x:c>
      <x:c r="S170" s="10" t="n">
        <x:v>6810.9</x:v>
      </x:c>
      <x:c r="T170" s="10" t="n">
        <x:v>6823.8</x:v>
      </x:c>
      <x:c r="U170" s="10" t="n">
        <x:v>6743.9</x:v>
      </x:c>
      <x:c r="V170" s="10" t="n">
        <x:v>7915.5</x:v>
      </x:c>
      <x:c r="W170" s="10" t="n">
        <x:v>7677.3</x:v>
      </x:c>
      <x:c r="X170" s="10" t="n">
        <x:v>8562.9</x:v>
      </x:c>
      <x:c r="Y170" s="10" t="n">
        <x:v>8971</x:v>
      </x:c>
      <x:c r="Z170" s="10" t="n">
        <x:v>10961</x:v>
      </x:c>
      <x:c r="AA170" s="10" t="n">
        <x:v>8289.8</x:v>
      </x:c>
      <x:c r="AB170" s="10" t="n">
        <x:v>8872.3</x:v>
      </x:c>
      <x:c r="AC170" s="10" t="n">
        <x:v>10242.857012</x:v>
      </x:c>
      <x:c r="AD170" s="10" t="n">
        <x:v>9566.845252</x:v>
      </x:c>
      <x:c r="AE170" s="10" t="n">
        <x:f>IF(A170=B170,0,AVERAGE(E170:Q170))</x:f>
        <x:v>18396.332782923077</x:v>
      </x:c>
      <x:c r="AF170" s="10" t="n">
        <x:f>IF(A170=B170,0,AVERAGE(R170:AD170))</x:f>
        <x:v>8317.754020307691</x:v>
      </x:c>
      <x:c r="AG170" s="10" t="n">
        <x:f>AE170+AF170</x:f>
        <x:v>26714.08680323077</x:v>
      </x:c>
    </x:row>
    <x:row r="171">
      <x:c r="A171" t="str">
        <x:v>US</x:v>
      </x:c>
      <x:c r="B171" t="str">
        <x:v>BR</x:v>
      </x:c>
      <x:c r="C171" t="str">
        <x:v>United States</x:v>
      </x:c>
      <x:c r="D171" t="str">
        <x:v>Brazil</x:v>
      </x:c>
      <x:c r="E171" s="10" t="n">
        <x:v>15182.8</x:v>
      </x:c>
      <x:c r="F171" s="10" t="n">
        <x:v>15928.4</x:v>
      </x:c>
      <x:c r="G171" s="10" t="n">
        <x:v>12408.7</x:v>
      </x:c>
      <x:c r="H171" s="10" t="n">
        <x:v>11218.2</x:v>
      </x:c>
      <x:c r="I171" s="10" t="n">
        <x:v>13863.2</x:v>
      </x:c>
      <x:c r="J171" s="10" t="n">
        <x:v>15345.6</x:v>
      </x:c>
      <x:c r="K171" s="10" t="n">
        <x:v>19227.4</x:v>
      </x:c>
      <x:c r="L171" s="10" t="n">
        <x:v>24628.4</x:v>
      </x:c>
      <x:c r="M171" s="10" t="n">
        <x:v>32910.1</x:v>
      </x:c>
      <x:c r="N171" s="10" t="n">
        <x:v>26175.1</x:v>
      </x:c>
      <x:c r="O171" s="10" t="n">
        <x:v>35357.4</x:v>
      </x:c>
      <x:c r="P171" s="10" t="n">
        <x:v>43018.838986</x:v>
      </x:c>
      <x:c r="Q171" s="10" t="n">
        <x:v>43771.278235</x:v>
      </x:c>
      <x:c r="R171" s="10" t="n">
        <x:v>14393.1</x:v>
      </x:c>
      <x:c r="S171" s="10" t="n">
        <x:v>15258.7</x:v>
      </x:c>
      <x:c r="T171" s="10" t="n">
        <x:v>16721.9</x:v>
      </x:c>
      <x:c r="U171" s="10" t="n">
        <x:v>18964.8</x:v>
      </x:c>
      <x:c r="V171" s="10" t="n">
        <x:v>22733.7</x:v>
      </x:c>
      <x:c r="W171" s="10" t="n">
        <x:v>26220.6</x:v>
      </x:c>
      <x:c r="X171" s="10" t="n">
        <x:v>28031.2</x:v>
      </x:c>
      <x:c r="Y171" s="10" t="n">
        <x:v>27193.3</x:v>
      </x:c>
      <x:c r="Z171" s="10" t="n">
        <x:v>32072.9</x:v>
      </x:c>
      <x:c r="AA171" s="10" t="n">
        <x:v>21017.7</x:v>
      </x:c>
      <x:c r="AB171" s="10" t="n">
        <x:v>24968.6</x:v>
      </x:c>
      <x:c r="AC171" s="10" t="n">
        <x:v>31736.521991</x:v>
      </x:c>
      <x:c r="AD171" s="10" t="n">
        <x:v>32123.378693</x:v>
      </x:c>
      <x:c r="AE171" s="10" t="n">
        <x:f>IF(A171=B171,0,AVERAGE(E171:Q171))</x:f>
        <x:v>23771.95517084615</x:v>
      </x:c>
      <x:c r="AF171" s="10" t="n">
        <x:f>IF(A171=B171,0,AVERAGE(R171:AD171))</x:f>
        <x:v>23956.646206461537</x:v>
      </x:c>
      <x:c r="AG171" s="10" t="n">
        <x:f>AE171+AF171</x:f>
        <x:v>47728.601377307685</x:v>
      </x:c>
    </x:row>
    <x:row r="172">
      <x:c r="A172" t="str">
        <x:v>US</x:v>
      </x:c>
      <x:c r="B172" t="str">
        <x:v>CA</x:v>
      </x:c>
      <x:c r="C172" t="str">
        <x:v>United States</x:v>
      </x:c>
      <x:c r="D172" t="str">
        <x:v>Canada</x:v>
      </x:c>
      <x:c r="E172" s="10" t="n">
        <x:v>174615.6</x:v>
      </x:c>
      <x:c r="F172" s="10" t="n">
        <x:v>163724.5</x:v>
      </x:c>
      <x:c r="G172" s="10" t="n">
        <x:v>160799.1</x:v>
      </x:c>
      <x:c r="H172" s="10" t="n">
        <x:v>169480.7</x:v>
      </x:c>
      <x:c r="I172" s="10" t="n">
        <x:v>187713</x:v>
      </x:c>
      <x:c r="J172" s="10" t="n">
        <x:v>211420.2</x:v>
      </x:c>
      <x:c r="K172" s="10" t="n">
        <x:v>230256.7</x:v>
      </x:c>
      <x:c r="L172" s="10" t="n">
        <x:v>248437.2</x:v>
      </x:c>
      <x:c r="M172" s="10" t="n">
        <x:v>260914.3</x:v>
      </x:c>
      <x:c r="N172" s="10" t="n">
        <x:v>204728</x:v>
      </x:c>
      <x:c r="O172" s="10" t="n">
        <x:v>248194.2</x:v>
      </x:c>
      <x:c r="P172" s="10" t="n">
        <x:v>281291.530822</x:v>
      </x:c>
      <x:c r="Q172" s="10" t="n">
        <x:v>292650.534087</x:v>
      </x:c>
      <x:c r="R172" s="10" t="n">
        <x:v>229190.8</x:v>
      </x:c>
      <x:c r="S172" s="10" t="n">
        <x:v>220137.8</x:v>
      </x:c>
      <x:c r="T172" s="10" t="n">
        <x:v>213954</x:v>
      </x:c>
      <x:c r="U172" s="10" t="n">
        <x:v>227652.1</x:v>
      </x:c>
      <x:c r="V172" s="10" t="n">
        <x:v>259806.8</x:v>
      </x:c>
      <x:c r="W172" s="10" t="n">
        <x:v>291943.5</x:v>
      </x:c>
      <x:c r="X172" s="10" t="n">
        <x:v>307823.1</x:v>
      </x:c>
      <x:c r="Y172" s="10" t="n">
        <x:v>317604.4</x:v>
      </x:c>
      <x:c r="Z172" s="10" t="n">
        <x:v>339711.7</x:v>
      </x:c>
      <x:c r="AA172" s="10" t="n">
        <x:v>228375.6</x:v>
      </x:c>
      <x:c r="AB172" s="10" t="n">
        <x:v>280387.2</x:v>
      </x:c>
      <x:c r="AC172" s="10" t="n">
        <x:v>315324.753291</x:v>
      </x:c>
      <x:c r="AD172" s="10" t="n">
        <x:v>324263.012583</x:v>
      </x:c>
      <x:c r="AE172" s="10" t="n">
        <x:f>IF(A172=B172,0,AVERAGE(E172:Q172))</x:f>
        <x:v>218017.35114684614</x:v>
      </x:c>
      <x:c r="AF172" s="10" t="n">
        <x:f>IF(A172=B172,0,AVERAGE(R172:AD172))</x:f>
        <x:v>273551.9050672308</x:v>
      </x:c>
      <x:c r="AG172" s="10" t="n">
        <x:f>AE172+AF172</x:f>
        <x:v>491569.25621407694</x:v>
      </x:c>
    </x:row>
    <x:row r="173">
      <x:c r="A173" t="str">
        <x:v>US</x:v>
      </x:c>
      <x:c r="B173" t="str">
        <x:v>CH</x:v>
      </x:c>
      <x:c r="C173" t="str">
        <x:v>United States</x:v>
      </x:c>
      <x:c r="D173" t="str">
        <x:v>Switzerland</x:v>
      </x:c>
      <x:c r="E173" s="10" t="n">
        <x:v>9377.8</x:v>
      </x:c>
      <x:c r="F173" s="10" t="n">
        <x:v>9842.1</x:v>
      </x:c>
      <x:c r="G173" s="10" t="n">
        <x:v>7796.4</x:v>
      </x:c>
      <x:c r="H173" s="10" t="n">
        <x:v>8675.9</x:v>
      </x:c>
      <x:c r="I173" s="10" t="n">
        <x:v>9278.5</x:v>
      </x:c>
      <x:c r="J173" s="10" t="n">
        <x:v>10759.9</x:v>
      </x:c>
      <x:c r="K173" s="10" t="n">
        <x:v>14391.9</x:v>
      </x:c>
      <x:c r="L173" s="10" t="n">
        <x:v>17055.7</x:v>
      </x:c>
      <x:c r="M173" s="10" t="n">
        <x:v>22052.6</x:v>
      </x:c>
      <x:c r="N173" s="10" t="n">
        <x:v>17522.4</x:v>
      </x:c>
      <x:c r="O173" s="10" t="n">
        <x:v>20721.3</x:v>
      </x:c>
      <x:c r="P173" s="10" t="n">
        <x:v>24548.58867</x:v>
      </x:c>
      <x:c r="Q173" s="10" t="n">
        <x:v>26428.127014</x:v>
      </x:c>
      <x:c r="R173" s="10" t="n">
        <x:v>10698.5</x:v>
      </x:c>
      <x:c r="S173" s="10" t="n">
        <x:v>9975</x:v>
      </x:c>
      <x:c r="T173" s="10" t="n">
        <x:v>9785</x:v>
      </x:c>
      <x:c r="U173" s="10" t="n">
        <x:v>11101.4</x:v>
      </x:c>
      <x:c r="V173" s="10" t="n">
        <x:v>12107.3</x:v>
      </x:c>
      <x:c r="W173" s="10" t="n">
        <x:v>13482.5</x:v>
      </x:c>
      <x:c r="X173" s="10" t="n">
        <x:v>14774.2</x:v>
      </x:c>
      <x:c r="Y173" s="10" t="n">
        <x:v>15284.9</x:v>
      </x:c>
      <x:c r="Z173" s="10" t="n">
        <x:v>18300.5</x:v>
      </x:c>
      <x:c r="AA173" s="10" t="n">
        <x:v>16397</x:v>
      </x:c>
      <x:c r="AB173" s="10" t="n">
        <x:v>19571.1</x:v>
      </x:c>
      <x:c r="AC173" s="10" t="n">
        <x:v>24612.922491</x:v>
      </x:c>
      <x:c r="AD173" s="10" t="n">
        <x:v>25982.698882</x:v>
      </x:c>
      <x:c r="AE173" s="10" t="n">
        <x:f>IF(A173=B173,0,AVERAGE(E173:Q173))</x:f>
        <x:v>15265.478129538458</x:v>
      </x:c>
      <x:c r="AF173" s="10" t="n">
        <x:f>IF(A173=B173,0,AVERAGE(R173:AD173))</x:f>
        <x:v>15544.078567153845</x:v>
      </x:c>
      <x:c r="AG173" s="10" t="n">
        <x:f>AE173+AF173</x:f>
        <x:v>30809.556696692303</x:v>
      </x:c>
    </x:row>
    <x:row r="174">
      <x:c r="A174" t="str">
        <x:v>US</x:v>
      </x:c>
      <x:c r="B174" t="str">
        <x:v>CN</x:v>
      </x:c>
      <x:c r="C174" t="str">
        <x:v>United States</x:v>
      </x:c>
      <x:c r="D174" t="str">
        <x:v>China, People's Republic of</x:v>
      </x:c>
      <x:c r="E174" s="10" t="n">
        <x:v>15963.7</x:v>
      </x:c>
      <x:c r="F174" s="10" t="n">
        <x:v>19234.9</x:v>
      </x:c>
      <x:c r="G174" s="10" t="n">
        <x:v>22052.7</x:v>
      </x:c>
      <x:c r="H174" s="10" t="n">
        <x:v>28418.5</x:v>
      </x:c>
      <x:c r="I174" s="10" t="n">
        <x:v>34721</x:v>
      </x:c>
      <x:c r="J174" s="10" t="n">
        <x:v>41836.7</x:v>
      </x:c>
      <x:c r="K174" s="10" t="n">
        <x:v>55224</x:v>
      </x:c>
      <x:c r="L174" s="10" t="n">
        <x:v>65238.4</x:v>
      </x:c>
      <x:c r="M174" s="10" t="n">
        <x:v>71457</x:v>
      </x:c>
      <x:c r="N174" s="10" t="n">
        <x:v>69576</x:v>
      </x:c>
      <x:c r="O174" s="10" t="n">
        <x:v>91878.3</x:v>
      </x:c>
      <x:c r="P174" s="10" t="n">
        <x:v>104121.523635</x:v>
      </x:c>
      <x:c r="Q174" s="10" t="n">
        <x:v>110516.615672</x:v>
      </x:c>
      <x:c r="R174" s="10" t="n">
        <x:v>106214.7</x:v>
      </x:c>
      <x:c r="S174" s="10" t="n">
        <x:v>109391.6</x:v>
      </x:c>
      <x:c r="T174" s="10" t="n">
        <x:v>133490.4</x:v>
      </x:c>
      <x:c r="U174" s="10" t="n">
        <x:v>163255.3</x:v>
      </x:c>
      <x:c r="V174" s="10" t="n">
        <x:v>210525.8</x:v>
      </x:c>
      <x:c r="W174" s="10" t="n">
        <x:v>259837.8</x:v>
      </x:c>
      <x:c r="X174" s="10" t="n">
        <x:v>305787.6</x:v>
      </x:c>
      <x:c r="Y174" s="10" t="n">
        <x:v>340117.7</x:v>
      </x:c>
      <x:c r="Z174" s="10" t="n">
        <x:v>356318.9</x:v>
      </x:c>
      <x:c r="AA174" s="10" t="n">
        <x:v>309557.7</x:v>
      </x:c>
      <x:c r="AB174" s="10" t="n">
        <x:v>382982.9</x:v>
      </x:c>
      <x:c r="AC174" s="10" t="n">
        <x:v>399371.232631</x:v>
      </x:c>
      <x:c r="AD174" s="10" t="n">
        <x:v>425619.082637</x:v>
      </x:c>
      <x:c r="AE174" s="10" t="n">
        <x:f>IF(A174=B174,0,AVERAGE(E174:Q174))</x:f>
        <x:v>56172.25686976923</x:v>
      </x:c>
      <x:c r="AF174" s="10" t="n">
        <x:f>IF(A174=B174,0,AVERAGE(R174:AD174))</x:f>
        <x:v>269420.8242513846</x:v>
      </x:c>
      <x:c r="AG174" s="10" t="n">
        <x:f>AE174+AF174</x:f>
        <x:v>325593.08112115384</x:v>
      </x:c>
    </x:row>
    <x:row r="175">
      <x:c r="A175" t="str">
        <x:v>US</x:v>
      </x:c>
      <x:c r="B175" t="str">
        <x:v>EA</x:v>
      </x:c>
      <x:c r="C175" t="str">
        <x:v>United States</x:v>
      </x:c>
      <x:c r="D175" t="str">
        <x:v>Euro Area (EA)</x:v>
      </x:c>
      <x:c r="E175" s="10" t="n">
        <x:v>118316.3</x:v>
      </x:c>
      <x:c r="F175" s="10" t="n">
        <x:v>114549.1</x:v>
      </x:c>
      <x:c r="G175" s="10" t="n">
        <x:v>107162.5</x:v>
      </x:c>
      <x:c r="H175" s="10" t="n">
        <x:v>113602.2</x:v>
      </x:c>
      <x:c r="I175" s="10" t="n">
        <x:v>128746.5</x:v>
      </x:c>
      <x:c r="J175" s="10" t="n">
        <x:v>139075.4</x:v>
      </x:c>
      <x:c r="K175" s="10" t="n">
        <x:v>158233.8</x:v>
      </x:c>
      <x:c r="L175" s="10" t="n">
        <x:v>183654</x:v>
      </x:c>
      <x:c r="M175" s="10" t="n">
        <x:v>205686.7</x:v>
      </x:c>
      <x:c r="N175" s="10" t="n">
        <x:v>163778.9</x:v>
      </x:c>
      <x:c r="O175" s="10" t="n">
        <x:v>178985.9</x:v>
      </x:c>
      <x:c r="P175" s="10" t="n">
        <x:v>199561.39323</x:v>
      </x:c>
      <x:c r="Q175" s="10" t="n">
        <x:v>196655.656353</x:v>
      </x:c>
      <x:c r="R175" s="10" t="n">
        <x:v>169030</x:v>
      </x:c>
      <x:c r="S175" s="10" t="n">
        <x:v>172825.6</x:v>
      </x:c>
      <x:c r="T175" s="10" t="n">
        <x:v>179248.7</x:v>
      </x:c>
      <x:c r="U175" s="10" t="n">
        <x:v>195633.3</x:v>
      </x:c>
      <x:c r="V175" s="10" t="n">
        <x:v>220002.5</x:v>
      </x:c>
      <x:c r="W175" s="10" t="n">
        <x:v>239339.9</x:v>
      </x:c>
      <x:c r="X175" s="10" t="n">
        <x:v>258120.6</x:v>
      </x:c>
      <x:c r="Y175" s="10" t="n">
        <x:v>277378</x:v>
      </x:c>
      <x:c r="Z175" s="10" t="n">
        <x:v>287885.9</x:v>
      </x:c>
      <x:c r="AA175" s="10" t="n">
        <x:v>217727.4</x:v>
      </x:c>
      <x:c r="AB175" s="10" t="n">
        <x:v>249728.1</x:v>
      </x:c>
      <x:c r="AC175" s="10" t="n">
        <x:v>286928.710268</x:v>
      </x:c>
      <x:c r="AD175" s="10" t="n">
        <x:v>296467.551922</x:v>
      </x:c>
      <x:c r="AE175" s="10" t="n">
        <x:f>IF(A175=B175,0,AVERAGE(E175:Q175))</x:f>
        <x:v>154462.18073715383</x:v>
      </x:c>
      <x:c r="AF175" s="10" t="n">
        <x:f>IF(A175=B175,0,AVERAGE(R175:AD175))</x:f>
        <x:v>234639.71247615386</x:v>
      </x:c>
      <x:c r="AG175" s="10" t="n">
        <x:f>AE175+AF175</x:f>
        <x:v>389101.8932133077</x:v>
      </x:c>
    </x:row>
    <x:row r="176">
      <x:c r="A176" t="str">
        <x:v>US</x:v>
      </x:c>
      <x:c r="B176" t="str">
        <x:v>UK</x:v>
      </x:c>
      <x:c r="C176" t="str">
        <x:v>United States</x:v>
      </x:c>
      <x:c r="D176" t="str">
        <x:v>United Kingdom</x:v>
      </x:c>
      <x:c r="E176" s="10" t="n">
        <x:v>41360.6</x:v>
      </x:c>
      <x:c r="F176" s="10" t="n">
        <x:v>40797.8</x:v>
      </x:c>
      <x:c r="G176" s="10" t="n">
        <x:v>33253.1</x:v>
      </x:c>
      <x:c r="H176" s="10" t="n">
        <x:v>33895.7</x:v>
      </x:c>
      <x:c r="I176" s="10" t="n">
        <x:v>35959.7</x:v>
      </x:c>
      <x:c r="J176" s="10" t="n">
        <x:v>38628.6</x:v>
      </x:c>
      <x:c r="K176" s="10" t="n">
        <x:v>45393</x:v>
      </x:c>
      <x:c r="L176" s="10" t="n">
        <x:v>50296.3</x:v>
      </x:c>
      <x:c r="M176" s="10" t="n">
        <x:v>53775.1</x:v>
      </x:c>
      <x:c r="N176" s="10" t="n">
        <x:v>45713.7</x:v>
      </x:c>
      <x:c r="O176" s="10" t="n">
        <x:v>48496.7</x:v>
      </x:c>
      <x:c r="P176" s="10" t="n">
        <x:v>56033.108347</x:v>
      </x:c>
      <x:c r="Q176" s="10" t="n">
        <x:v>54860.484359</x:v>
      </x:c>
      <x:c r="R176" s="10" t="n">
        <x:v>43676.8</x:v>
      </x:c>
      <x:c r="S176" s="10" t="n">
        <x:v>42367.2</x:v>
      </x:c>
      <x:c r="T176" s="10" t="n">
        <x:v>41824.9</x:v>
      </x:c>
      <x:c r="U176" s="10" t="n">
        <x:v>43763.8</x:v>
      </x:c>
      <x:c r="V176" s="10" t="n">
        <x:v>47676.7</x:v>
      </x:c>
      <x:c r="W176" s="10" t="n">
        <x:v>52380.3</x:v>
      </x:c>
      <x:c r="X176" s="10" t="n">
        <x:v>54629.6</x:v>
      </x:c>
      <x:c r="Y176" s="10" t="n">
        <x:v>58095.5</x:v>
      </x:c>
      <x:c r="Z176" s="10" t="n">
        <x:v>59775.4</x:v>
      </x:c>
      <x:c r="AA176" s="10" t="n">
        <x:v>48315</x:v>
      </x:c>
      <x:c r="AB176" s="10" t="n">
        <x:v>50664</x:v>
      </x:c>
      <x:c r="AC176" s="10" t="n">
        <x:v>51262.501564</x:v>
      </x:c>
      <x:c r="AD176" s="10" t="n">
        <x:v>55005.810676</x:v>
      </x:c>
      <x:c r="AE176" s="10" t="n">
        <x:f>IF(A176=B176,0,AVERAGE(E176:Q176))</x:f>
        <x:v>44497.22251584615</x:v>
      </x:c>
      <x:c r="AF176" s="10" t="n">
        <x:f>IF(A176=B176,0,AVERAGE(R176:AD176))</x:f>
        <x:v>49956.73171076923</x:v>
      </x:c>
      <x:c r="AG176" s="10" t="n">
        <x:f>AE176+AF176</x:f>
        <x:v>94453.95422661537</x:v>
      </x:c>
    </x:row>
    <x:row r="177">
      <x:c r="A177" t="str">
        <x:v>US</x:v>
      </x:c>
      <x:c r="B177" t="str">
        <x:v>JP</x:v>
      </x:c>
      <x:c r="C177" t="str">
        <x:v>United States</x:v>
      </x:c>
      <x:c r="D177" t="str">
        <x:v>Japan</x:v>
      </x:c>
      <x:c r="E177" s="10" t="n">
        <x:v>64537.6</x:v>
      </x:c>
      <x:c r="F177" s="10" t="n">
        <x:v>57639.1</x:v>
      </x:c>
      <x:c r="G177" s="10" t="n">
        <x:v>51439.6</x:v>
      </x:c>
      <x:c r="H177" s="10" t="n">
        <x:v>52063.7</x:v>
      </x:c>
      <x:c r="I177" s="10" t="n">
        <x:v>54400</x:v>
      </x:c>
      <x:c r="J177" s="10" t="n">
        <x:v>55409.6</x:v>
      </x:c>
      <x:c r="K177" s="10" t="n">
        <x:v>59649.3</x:v>
      </x:c>
      <x:c r="L177" s="10" t="n">
        <x:v>62664.9</x:v>
      </x:c>
      <x:c r="M177" s="10" t="n">
        <x:v>66579.2</x:v>
      </x:c>
      <x:c r="N177" s="10" t="n">
        <x:v>51179.7</x:v>
      </x:c>
      <x:c r="O177" s="10" t="n">
        <x:v>60545.4</x:v>
      </x:c>
      <x:c r="P177" s="10" t="n">
        <x:v>65799.736713</x:v>
      </x:c>
      <x:c r="Q177" s="10" t="n">
        <x:v>69975.786856</x:v>
      </x:c>
      <x:c r="R177" s="10" t="n">
        <x:v>149520.3</x:v>
      </x:c>
      <x:c r="S177" s="10" t="n">
        <x:v>129708.2</x:v>
      </x:c>
      <x:c r="T177" s="10" t="n">
        <x:v>124633</x:v>
      </x:c>
      <x:c r="U177" s="10" t="n">
        <x:v>121232.7</x:v>
      </x:c>
      <x:c r="V177" s="10" t="n">
        <x:v>133339.1</x:v>
      </x:c>
      <x:c r="W177" s="10" t="n">
        <x:v>141950.4</x:v>
      </x:c>
      <x:c r="X177" s="10" t="n">
        <x:v>152244.1</x:v>
      </x:c>
      <x:c r="Y177" s="10" t="n">
        <x:v>149423</x:v>
      </x:c>
      <x:c r="Z177" s="10" t="n">
        <x:v>143351.8</x:v>
      </x:c>
      <x:c r="AA177" s="10" t="n">
        <x:v>98401.5</x:v>
      </x:c>
      <x:c r="AB177" s="10" t="n">
        <x:v>123556.1</x:v>
      </x:c>
      <x:c r="AC177" s="10" t="n">
        <x:v>128927.889476</x:v>
      </x:c>
      <x:c r="AD177" s="10" t="n">
        <x:v>146431.693012</x:v>
      </x:c>
      <x:c r="AE177" s="10" t="n">
        <x:f>IF(A177=B177,0,AVERAGE(E177:Q177))</x:f>
        <x:v>59375.66335146153</x:v>
      </x:c>
      <x:c r="AF177" s="10" t="n">
        <x:f>IF(A177=B177,0,AVERAGE(R177:AD177))</x:f>
        <x:v>134055.36788369232</x:v>
      </x:c>
      <x:c r="AG177" s="10" t="n">
        <x:f>AE177+AF177</x:f>
        <x:v>193431.03123515385</x:v>
      </x:c>
    </x:row>
    <x:row r="178">
      <x:c r="A178" t="str">
        <x:v>US</x:v>
      </x:c>
      <x:c r="B178" t="str">
        <x:v>KR</x:v>
      </x:c>
      <x:c r="C178" t="str">
        <x:v>United States</x:v>
      </x:c>
      <x:c r="D178" t="str">
        <x:v>Korea, Republic of</x:v>
      </x:c>
      <x:c r="E178" s="10" t="n">
        <x:v>27337.6</x:v>
      </x:c>
      <x:c r="F178" s="10" t="n">
        <x:v>22196.7</x:v>
      </x:c>
      <x:c r="G178" s="10" t="n">
        <x:v>22595.8</x:v>
      </x:c>
      <x:c r="H178" s="10" t="n">
        <x:v>24098.6</x:v>
      </x:c>
      <x:c r="I178" s="10" t="n">
        <x:v>26333.4</x:v>
      </x:c>
      <x:c r="J178" s="10" t="n">
        <x:v>27670.1</x:v>
      </x:c>
      <x:c r="K178" s="10" t="n">
        <x:v>32455.3</x:v>
      </x:c>
      <x:c r="L178" s="10" t="n">
        <x:v>34702.8</x:v>
      </x:c>
      <x:c r="M178" s="10" t="n">
        <x:v>34807.4</x:v>
      </x:c>
      <x:c r="N178" s="10" t="n">
        <x:v>28640</x:v>
      </x:c>
      <x:c r="O178" s="10" t="n">
        <x:v>38843.9</x:v>
      </x:c>
      <x:c r="P178" s="10" t="n">
        <x:v>43461.636035</x:v>
      </x:c>
      <x:c r="Q178" s="10" t="n">
        <x:v>42282.565212</x:v>
      </x:c>
      <x:c r="R178" s="10" t="n">
        <x:v>40911</x:v>
      </x:c>
      <x:c r="S178" s="10" t="n">
        <x:v>36491.2</x:v>
      </x:c>
      <x:c r="T178" s="10" t="n">
        <x:v>36909.7</x:v>
      </x:c>
      <x:c r="U178" s="10" t="n">
        <x:v>38346.1</x:v>
      </x:c>
      <x:c r="V178" s="10" t="n">
        <x:v>47814.3</x:v>
      </x:c>
      <x:c r="W178" s="10" t="n">
        <x:v>45522.8</x:v>
      </x:c>
      <x:c r="X178" s="10" t="n">
        <x:v>47636.3</x:v>
      </x:c>
      <x:c r="Y178" s="10" t="n">
        <x:v>49319.2</x:v>
      </x:c>
      <x:c r="Z178" s="10" t="n">
        <x:v>49823.5</x:v>
      </x:c>
      <x:c r="AA178" s="10" t="n">
        <x:v>40543.8</x:v>
      </x:c>
      <x:c r="AB178" s="10" t="n">
        <x:v>50592.1</x:v>
      </x:c>
      <x:c r="AC178" s="10" t="n">
        <x:v>56661.359461</x:v>
      </x:c>
      <x:c r="AD178" s="10" t="n">
        <x:v>58898.926491</x:v>
      </x:c>
      <x:c r="AE178" s="10" t="n">
        <x:f>IF(A178=B178,0,AVERAGE(E178:Q178))</x:f>
        <x:v>31186.600095923073</x:v>
      </x:c>
      <x:c r="AF178" s="10" t="n">
        <x:f>IF(A178=B178,0,AVERAGE(R178:AD178))</x:f>
        <x:v>46113.09891938461</x:v>
      </x:c>
      <x:c r="AG178" s="10" t="n">
        <x:f>AE178+AF178</x:f>
        <x:v>77299.69901530768</x:v>
      </x:c>
    </x:row>
    <x:row r="179">
      <x:c r="A179" t="str">
        <x:v>US</x:v>
      </x:c>
      <x:c r="B179" t="str">
        <x:v>NO</x:v>
      </x:c>
      <x:c r="C179" t="str">
        <x:v>United States</x:v>
      </x:c>
      <x:c r="D179" t="str">
        <x:v>Norway</x:v>
      </x:c>
      <x:c r="E179" s="10" t="n">
        <x:v>1573.2</x:v>
      </x:c>
      <x:c r="F179" s="10" t="n">
        <x:v>1839.1</x:v>
      </x:c>
      <x:c r="G179" s="10" t="n">
        <x:v>1407.7</x:v>
      </x:c>
      <x:c r="H179" s="10" t="n">
        <x:v>1470.5</x:v>
      </x:c>
      <x:c r="I179" s="10" t="n">
        <x:v>1604.5</x:v>
      </x:c>
      <x:c r="J179" s="10" t="n">
        <x:v>1934.8</x:v>
      </x:c>
      <x:c r="K179" s="10" t="n">
        <x:v>2401</x:v>
      </x:c>
      <x:c r="L179" s="10" t="n">
        <x:v>3053.7</x:v>
      </x:c>
      <x:c r="M179" s="10" t="n">
        <x:v>3402.4</x:v>
      </x:c>
      <x:c r="N179" s="10" t="n">
        <x:v>2753.1</x:v>
      </x:c>
      <x:c r="O179" s="10" t="n">
        <x:v>3107.4</x:v>
      </x:c>
      <x:c r="P179" s="10" t="n">
        <x:v>3631.708911</x:v>
      </x:c>
      <x:c r="Q179" s="10" t="n">
        <x:v>3501.285199</x:v>
      </x:c>
      <x:c r="R179" s="10" t="n">
        <x:v>5772.4</x:v>
      </x:c>
      <x:c r="S179" s="10" t="n">
        <x:v>5472.1</x:v>
      </x:c>
      <x:c r="T179" s="10" t="n">
        <x:v>6075.3</x:v>
      </x:c>
      <x:c r="U179" s="10" t="n">
        <x:v>5470.4</x:v>
      </x:c>
      <x:c r="V179" s="10" t="n">
        <x:v>6856.8</x:v>
      </x:c>
      <x:c r="W179" s="10" t="n">
        <x:v>7112.1</x:v>
      </x:c>
      <x:c r="X179" s="10" t="n">
        <x:v>7380.3</x:v>
      </x:c>
      <x:c r="Y179" s="10" t="n">
        <x:v>7589.7</x:v>
      </x:c>
      <x:c r="Z179" s="10" t="n">
        <x:v>7603.9</x:v>
      </x:c>
      <x:c r="AA179" s="10" t="n">
        <x:v>5890.3</x:v>
      </x:c>
      <x:c r="AB179" s="10" t="n">
        <x:v>7194.6</x:v>
      </x:c>
      <x:c r="AC179" s="10" t="n">
        <x:v>8304.895112</x:v>
      </x:c>
      <x:c r="AD179" s="10" t="n">
        <x:v>6566.014298</x:v>
      </x:c>
      <x:c r="AE179" s="10" t="n">
        <x:f>IF(A179=B179,0,AVERAGE(E179:Q179))</x:f>
        <x:v>2436.953393076923</x:v>
      </x:c>
      <x:c r="AF179" s="10" t="n">
        <x:f>IF(A179=B179,0,AVERAGE(R179:AD179))</x:f>
        <x:v>6714.523800769231</x:v>
      </x:c>
      <x:c r="AG179" s="10" t="n">
        <x:f>AE179+AF179</x:f>
        <x:v>9151.477193846153</x:v>
      </x:c>
    </x:row>
    <x:row r="180">
      <x:c r="A180" t="str">
        <x:v>US</x:v>
      </x:c>
      <x:c r="B180" t="str">
        <x:v>SG</x:v>
      </x:c>
      <x:c r="C180" t="str">
        <x:v>United States</x:v>
      </x:c>
      <x:c r="D180" t="str">
        <x:v>Singapore</x:v>
      </x:c>
      <x:c r="E180" s="10" t="n">
        <x:v>17497.2</x:v>
      </x:c>
      <x:c r="F180" s="10" t="n">
        <x:v>17691.7</x:v>
      </x:c>
      <x:c r="G180" s="10" t="n">
        <x:v>16221.1</x:v>
      </x:c>
      <x:c r="H180" s="10" t="n">
        <x:v>16575.8</x:v>
      </x:c>
      <x:c r="I180" s="10" t="n">
        <x:v>19600.8</x:v>
      </x:c>
      <x:c r="J180" s="10" t="n">
        <x:v>20646.5</x:v>
      </x:c>
      <x:c r="K180" s="10" t="n">
        <x:v>24683.1</x:v>
      </x:c>
      <x:c r="L180" s="10" t="n">
        <x:v>26284.5</x:v>
      </x:c>
      <x:c r="M180" s="10" t="n">
        <x:v>28809.7</x:v>
      </x:c>
      <x:c r="N180" s="10" t="n">
        <x:v>22278.6</x:v>
      </x:c>
      <x:c r="O180" s="10" t="n">
        <x:v>29149.8</x:v>
      </x:c>
      <x:c r="P180" s="10" t="n">
        <x:v>31282.363017</x:v>
      </x:c>
      <x:c r="Q180" s="10" t="n">
        <x:v>30523.214544</x:v>
      </x:c>
      <x:c r="R180" s="10" t="n">
        <x:v>19630.4</x:v>
      </x:c>
      <x:c r="S180" s="10" t="n">
        <x:v>15261.6</x:v>
      </x:c>
      <x:c r="T180" s="10" t="n">
        <x:v>15093.4</x:v>
      </x:c>
      <x:c r="U180" s="10" t="n">
        <x:v>15489.6</x:v>
      </x:c>
      <x:c r="V180" s="10" t="n">
        <x:v>15594.6</x:v>
      </x:c>
      <x:c r="W180" s="10" t="n">
        <x:v>15387.8</x:v>
      </x:c>
      <x:c r="X180" s="10" t="n">
        <x:v>18068.5</x:v>
      </x:c>
      <x:c r="Y180" s="10" t="n">
        <x:v>18692.4</x:v>
      </x:c>
      <x:c r="Z180" s="10" t="n">
        <x:v>16161.2</x:v>
      </x:c>
      <x:c r="AA180" s="10" t="n">
        <x:v>15856.6</x:v>
      </x:c>
      <x:c r="AB180" s="10" t="n">
        <x:v>17746.8</x:v>
      </x:c>
      <x:c r="AC180" s="10" t="n">
        <x:v>19115.895767</x:v>
      </x:c>
      <x:c r="AD180" s="10" t="n">
        <x:v>20231.867784</x:v>
      </x:c>
      <x:c r="AE180" s="10" t="n">
        <x:f>IF(A180=B180,0,AVERAGE(E180:Q180))</x:f>
        <x:v>23172.64442776923</x:v>
      </x:c>
      <x:c r="AF180" s="10" t="n">
        <x:f>IF(A180=B180,0,AVERAGE(R180:AD180))</x:f>
        <x:v>17102.35873469231</x:v>
      </x:c>
      <x:c r="AG180" s="10" t="n">
        <x:f>AE180+AF180</x:f>
        <x:v>40275.00316246154</x:v>
      </x:c>
    </x:row>
    <x:row r="181">
      <x:c r="A181" t="str">
        <x:v>US</x:v>
      </x:c>
      <x:c r="B181" t="str">
        <x:v>TR</x:v>
      </x:c>
      <x:c r="C181" t="str">
        <x:v>United States</x:v>
      </x:c>
      <x:c r="D181" t="str">
        <x:v>Türkiye, Republic of</x:v>
      </x:c>
      <x:c r="E181" s="10" t="n">
        <x:v>3777.5</x:v>
      </x:c>
      <x:c r="F181" s="10" t="n">
        <x:v>3106.6</x:v>
      </x:c>
      <x:c r="G181" s="10" t="n">
        <x:v>3106.7</x:v>
      </x:c>
      <x:c r="H181" s="10" t="n">
        <x:v>2904.3</x:v>
      </x:c>
      <x:c r="I181" s="10" t="n">
        <x:v>3361</x:v>
      </x:c>
      <x:c r="J181" s="10" t="n">
        <x:v>4274.1</x:v>
      </x:c>
      <x:c r="K181" s="10" t="n">
        <x:v>5729.5</x:v>
      </x:c>
      <x:c r="L181" s="10" t="n">
        <x:v>6585.4</x:v>
      </x:c>
      <x:c r="M181" s="10" t="n">
        <x:v>10439.8</x:v>
      </x:c>
      <x:c r="N181" s="10" t="n">
        <x:v>7089.1</x:v>
      </x:c>
      <x:c r="O181" s="10" t="n">
        <x:v>10546.6</x:v>
      </x:c>
      <x:c r="P181" s="10" t="n">
        <x:v>14695.214372</x:v>
      </x:c>
      <x:c r="Q181" s="10" t="n">
        <x:v>12474.727209</x:v>
      </x:c>
      <x:c r="R181" s="10" t="n">
        <x:v>3241.2</x:v>
      </x:c>
      <x:c r="S181" s="10" t="n">
        <x:v>3254.8</x:v>
      </x:c>
      <x:c r="T181" s="10" t="n">
        <x:v>3759.9</x:v>
      </x:c>
      <x:c r="U181" s="10" t="n">
        <x:v>4062.1</x:v>
      </x:c>
      <x:c r="V181" s="10" t="n">
        <x:v>5322</x:v>
      </x:c>
      <x:c r="W181" s="10" t="n">
        <x:v>5584.3</x:v>
      </x:c>
      <x:c r="X181" s="10" t="n">
        <x:v>5774.4</x:v>
      </x:c>
      <x:c r="Y181" s="10" t="n">
        <x:v>4897.3</x:v>
      </x:c>
      <x:c r="Z181" s="10" t="n">
        <x:v>4949.8</x:v>
      </x:c>
      <x:c r="AA181" s="10" t="n">
        <x:v>3857.1</x:v>
      </x:c>
      <x:c r="AB181" s="10" t="n">
        <x:v>4421.9</x:v>
      </x:c>
      <x:c r="AC181" s="10" t="n">
        <x:v>5220.844682</x:v>
      </x:c>
      <x:c r="AD181" s="10" t="n">
        <x:v>6294.133798</x:v>
      </x:c>
      <x:c r="AE181" s="10" t="n">
        <x:f>IF(A181=B181,0,AVERAGE(E181:Q181))</x:f>
        <x:v>6776.195506230769</x:v>
      </x:c>
      <x:c r="AF181" s="10" t="n">
        <x:f>IF(A181=B181,0,AVERAGE(R181:AD181))</x:f>
        <x:v>4664.598344615385</x:v>
      </x:c>
      <x:c r="AG181" s="10" t="n">
        <x:f>AE181+AF181</x:f>
        <x:v>11440.793850846154</x:v>
      </x:c>
    </x:row>
    <x:row r="182">
      <x:c r="A182" t="str">
        <x:v>US</x:v>
      </x:c>
      <x:c r="B182" t="str">
        <x:v>US</x:v>
      </x:c>
      <x:c r="C182" t="str">
        <x:v>United States</x:v>
      </x:c>
      <x:c r="D182" t="str">
        <x:v>United States</x:v>
      </x:c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  <x:c r="AC182" s="10"/>
      <x:c r="AD182" s="10"/>
      <x:c r="AE182" s="10" t="n">
        <x:f>IF(A182=B182,0,AVERAGE(E182:Q182))</x:f>
        <x:v>0</x:v>
      </x:c>
      <x:c r="AF182" s="10" t="n">
        <x:f>IF(A182=B182,0,AVERAGE(R182:AD182))</x:f>
        <x:v>0</x:v>
      </x:c>
      <x:c r="AG182" s="10" t="n">
        <x:f>AE182+AF182</x:f>
        <x:v>0</x:v>
      </x:c>
    </x:row>
    <x:row r="183">
      <x:c r="A183" t="str">
        <x:v>US</x:v>
      </x:c>
      <x:c r="B183" t="str">
        <x:v>ZA</x:v>
      </x:c>
      <x:c r="C183" t="str">
        <x:v>United States</x:v>
      </x:c>
      <x:c r="D183" t="str">
        <x:v>South Africa</x:v>
      </x:c>
      <x:c r="E183" s="10" t="n">
        <x:v>3099.6</x:v>
      </x:c>
      <x:c r="F183" s="10" t="n">
        <x:v>2961.7</x:v>
      </x:c>
      <x:c r="G183" s="10" t="n">
        <x:v>2525.2</x:v>
      </x:c>
      <x:c r="H183" s="10" t="n">
        <x:v>2821.3</x:v>
      </x:c>
      <x:c r="I183" s="10" t="n">
        <x:v>3172.2</x:v>
      </x:c>
      <x:c r="J183" s="10" t="n">
        <x:v>3881.7</x:v>
      </x:c>
      <x:c r="K183" s="10" t="n">
        <x:v>4461.8</x:v>
      </x:c>
      <x:c r="L183" s="10" t="n">
        <x:v>5518.1</x:v>
      </x:c>
      <x:c r="M183" s="10" t="n">
        <x:v>6494.8</x:v>
      </x:c>
      <x:c r="N183" s="10" t="n">
        <x:v>4460.7</x:v>
      </x:c>
      <x:c r="O183" s="10" t="n">
        <x:v>5626.7</x:v>
      </x:c>
      <x:c r="P183" s="10" t="n">
        <x:v>7271.282389</x:v>
      </x:c>
      <x:c r="Q183" s="10" t="n">
        <x:v>7552.773511</x:v>
      </x:c>
      <x:c r="R183" s="10" t="n">
        <x:v>4316.8</x:v>
      </x:c>
      <x:c r="S183" s="10" t="n">
        <x:v>4588</x:v>
      </x:c>
      <x:c r="T183" s="10" t="n">
        <x:v>4182.7</x:v>
      </x:c>
      <x:c r="U183" s="10" t="n">
        <x:v>4830.6</x:v>
      </x:c>
      <x:c r="V183" s="10" t="n">
        <x:v>6168</x:v>
      </x:c>
      <x:c r="W183" s="10" t="n">
        <x:v>6071.1</x:v>
      </x:c>
      <x:c r="X183" s="10" t="n">
        <x:v>7751</x:v>
      </x:c>
      <x:c r="Y183" s="10" t="n">
        <x:v>9291.1</x:v>
      </x:c>
      <x:c r="Z183" s="10" t="n">
        <x:v>10201.7</x:v>
      </x:c>
      <x:c r="AA183" s="10" t="n">
        <x:v>6043.8</x:v>
      </x:c>
      <x:c r="AB183" s="10" t="n">
        <x:v>8393.6</x:v>
      </x:c>
      <x:c r="AC183" s="10" t="n">
        <x:v>9486.919792</x:v>
      </x:c>
      <x:c r="AD183" s="10" t="n">
        <x:v>8672.332572</x:v>
      </x:c>
      <x:c r="AE183" s="10" t="n">
        <x:f>IF(A183=B183,0,AVERAGE(E183:Q183))</x:f>
        <x:v>4603.681223076923</x:v>
      </x:c>
      <x:c r="AF183" s="10" t="n">
        <x:f>IF(A183=B183,0,AVERAGE(R183:AD183))</x:f>
        <x:v>6922.896335692309</x:v>
      </x:c>
      <x:c r="AG183" s="10" t="n">
        <x:f>AE183+AF183</x:f>
        <x:v>11526.577558769231</x:v>
      </x:c>
    </x:row>
    <x:row r="184">
      <x:c r="A184" t="str">
        <x:v>ZA</x:v>
      </x:c>
      <x:c r="B184" t="str">
        <x:v>AU</x:v>
      </x:c>
      <x:c r="C184" t="str">
        <x:v>South Africa</x:v>
      </x:c>
      <x:c r="D184" t="str">
        <x:v>Australia</x:v>
      </x:c>
      <x:c r="E184" s="10" t="n">
        <x:v>477.857186</x:v>
      </x:c>
      <x:c r="F184" s="10" t="n">
        <x:v>489.978042</x:v>
      </x:c>
      <x:c r="G184" s="10" t="n">
        <x:v>483.98846</x:v>
      </x:c>
      <x:c r="H184" s="10" t="n">
        <x:v>740.9387</x:v>
      </x:c>
      <x:c r="I184" s="10" t="n">
        <x:v>1020.252851</x:v>
      </x:c>
      <x:c r="J184" s="10" t="n">
        <x:v>1412.182542</x:v>
      </x:c>
      <x:c r="K184" s="10" t="n">
        <x:v>1190.721889</x:v>
      </x:c>
      <x:c r="L184" s="10" t="n">
        <x:v>1276.795371</x:v>
      </x:c>
      <x:c r="M184" s="10" t="n">
        <x:v>1497.345157</x:v>
      </x:c>
      <x:c r="N184" s="10" t="n">
        <x:v>738.394161</x:v>
      </x:c>
      <x:c r="O184" s="10" t="n">
        <x:v>944.679178</x:v>
      </x:c>
      <x:c r="P184" s="10" t="n">
        <x:v>861.393344</x:v>
      </x:c>
      <x:c r="Q184" s="10" t="n">
        <x:v>891.611255</x:v>
      </x:c>
      <x:c r="R184" s="10" t="n">
        <x:v>702.824523</x:v>
      </x:c>
      <x:c r="S184" s="10" t="n">
        <x:v>743.460763</x:v>
      </x:c>
      <x:c r="T184" s="10" t="n">
        <x:v>781.55949</x:v>
      </x:c>
      <x:c r="U184" s="10" t="n">
        <x:v>835.473525</x:v>
      </x:c>
      <x:c r="V184" s="10" t="n">
        <x:v>1185.586877</x:v>
      </x:c>
      <x:c r="W184" s="10" t="n">
        <x:v>1215.444587</x:v>
      </x:c>
      <x:c r="X184" s="10" t="n">
        <x:v>1490.621982</x:v>
      </x:c>
      <x:c r="Y184" s="10" t="n">
        <x:v>1540.772783</x:v>
      </x:c>
      <x:c r="Z184" s="10" t="n">
        <x:v>1738.326532</x:v>
      </x:c>
      <x:c r="AA184" s="10" t="n">
        <x:v>1155.392551</x:v>
      </x:c>
      <x:c r="AB184" s="10" t="n">
        <x:v>1391.349199</x:v>
      </x:c>
      <x:c r="AC184" s="10" t="n">
        <x:v>1689.7103</x:v>
      </x:c>
      <x:c r="AD184" s="10" t="n">
        <x:v>1495.833279</x:v>
      </x:c>
      <x:c r="AE184" s="10" t="n">
        <x:f>IF(A184=B184,0,AVERAGE(E184:Q184))</x:f>
        <x:v>925.0875489230771</x:v>
      </x:c>
      <x:c r="AF184" s="10" t="n">
        <x:f>IF(A184=B184,0,AVERAGE(R184:AD184))</x:f>
        <x:v>1228.181260846154</x:v>
      </x:c>
      <x:c r="AG184" s="10" t="n">
        <x:f>AE184+AF184</x:f>
        <x:v>2153.2688097692308</x:v>
      </x:c>
    </x:row>
    <x:row r="185">
      <x:c r="A185" t="str">
        <x:v>ZA</x:v>
      </x:c>
      <x:c r="B185" t="str">
        <x:v>BR</x:v>
      </x:c>
      <x:c r="C185" t="str">
        <x:v>South Africa</x:v>
      </x:c>
      <x:c r="D185" t="str">
        <x:v>Brazil</x:v>
      </x:c>
      <x:c r="E185" s="10" t="n">
        <x:v>201.127938</x:v>
      </x:c>
      <x:c r="F185" s="10" t="n">
        <x:v>193.074361</x:v>
      </x:c>
      <x:c r="G185" s="10" t="n">
        <x:v>176.289288</x:v>
      </x:c>
      <x:c r="H185" s="10" t="n">
        <x:v>176.030674</x:v>
      </x:c>
      <x:c r="I185" s="10" t="n">
        <x:v>242.959195</x:v>
      </x:c>
      <x:c r="J185" s="10" t="n">
        <x:v>316.9688</x:v>
      </x:c>
      <x:c r="K185" s="10" t="n">
        <x:v>404.527287</x:v>
      </x:c>
      <x:c r="L185" s="10" t="n">
        <x:v>519.654114</x:v>
      </x:c>
      <x:c r="M185" s="10" t="n">
        <x:v>656.095419</x:v>
      </x:c>
      <x:c r="N185" s="10" t="n">
        <x:v>364.801802</x:v>
      </x:c>
      <x:c r="O185" s="10" t="n">
        <x:v>708.63896</x:v>
      </x:c>
      <x:c r="P185" s="10" t="n">
        <x:v>818.523235</x:v>
      </x:c>
      <x:c r="Q185" s="10" t="n">
        <x:v>790.102338</x:v>
      </x:c>
      <x:c r="R185" s="10" t="n">
        <x:v>309.607525</x:v>
      </x:c>
      <x:c r="S185" s="10" t="n">
        <x:v>726.444404</x:v>
      </x:c>
      <x:c r="T185" s="10" t="n">
        <x:v>490.965247</x:v>
      </x:c>
      <x:c r="U185" s="10" t="n">
        <x:v>747.820863</x:v>
      </x:c>
      <x:c r="V185" s="10" t="n">
        <x:v>1050.233203</x:v>
      </x:c>
      <x:c r="W185" s="10" t="n">
        <x:v>1384.601945</x:v>
      </x:c>
      <x:c r="X185" s="10" t="n">
        <x:v>1459.658528</x:v>
      </x:c>
      <x:c r="Y185" s="10" t="n">
        <x:v>1758.207</x:v>
      </x:c>
      <x:c r="Z185" s="10" t="n">
        <x:v>1778.706115</x:v>
      </x:c>
      <x:c r="AA185" s="10" t="n">
        <x:v>1318.902685</x:v>
      </x:c>
      <x:c r="AB185" s="10" t="n">
        <x:v>1451.129457</x:v>
      </x:c>
      <x:c r="AC185" s="10" t="n">
        <x:v>1768.674608</x:v>
      </x:c>
      <x:c r="AD185" s="10" t="n">
        <x:v>1772.702265</x:v>
      </x:c>
      <x:c r="AE185" s="10" t="n">
        <x:f>IF(A185=B185,0,AVERAGE(E185:Q185))</x:f>
        <x:v>428.3687239230769</x:v>
      </x:c>
      <x:c r="AF185" s="10" t="n">
        <x:f>IF(A185=B185,0,AVERAGE(R185:AD185))</x:f>
        <x:v>1232.1272188461537</x:v>
      </x:c>
      <x:c r="AG185" s="10" t="n">
        <x:f>AE185+AF185</x:f>
        <x:v>1660.4959427692306</x:v>
      </x:c>
    </x:row>
    <x:row r="186">
      <x:c r="A186" t="str">
        <x:v>ZA</x:v>
      </x:c>
      <x:c r="B186" t="str">
        <x:v>CA</x:v>
      </x:c>
      <x:c r="C186" t="str">
        <x:v>South Africa</x:v>
      </x:c>
      <x:c r="D186" t="str">
        <x:v>Canada</x:v>
      </x:c>
      <x:c r="E186" s="10" t="n">
        <x:v>219.153503</x:v>
      </x:c>
      <x:c r="F186" s="10" t="n">
        <x:v>140.733578</x:v>
      </x:c>
      <x:c r="G186" s="10" t="n">
        <x:v>168.146944</x:v>
      </x:c>
      <x:c r="H186" s="10" t="n">
        <x:v>210.222963</x:v>
      </x:c>
      <x:c r="I186" s="10" t="n">
        <x:v>356.631001</x:v>
      </x:c>
      <x:c r="J186" s="10" t="n">
        <x:v>650.968423</x:v>
      </x:c>
      <x:c r="K186" s="10" t="n">
        <x:v>438.294878</x:v>
      </x:c>
      <x:c r="L186" s="10" t="n">
        <x:v>778.231673</x:v>
      </x:c>
      <x:c r="M186" s="10" t="n">
        <x:v>423.919787</x:v>
      </x:c>
      <x:c r="N186" s="10" t="n">
        <x:v>352.451075</x:v>
      </x:c>
      <x:c r="O186" s="10" t="n">
        <x:v>537.415313</x:v>
      </x:c>
      <x:c r="P186" s="10" t="n">
        <x:v>475.633268</x:v>
      </x:c>
      <x:c r="Q186" s="10" t="n">
        <x:v>437.106931</x:v>
      </x:c>
      <x:c r="R186" s="10" t="n">
        <x:v>265.278236</x:v>
      </x:c>
      <x:c r="S186" s="10" t="n">
        <x:v>186.918469</x:v>
      </x:c>
      <x:c r="T186" s="10" t="n">
        <x:v>243.071333</x:v>
      </x:c>
      <x:c r="U186" s="10" t="n">
        <x:v>287.5974</x:v>
      </x:c>
      <x:c r="V186" s="10" t="n">
        <x:v>312.366176</x:v>
      </x:c>
      <x:c r="W186" s="10" t="n">
        <x:v>3630.082196</x:v>
      </x:c>
      <x:c r="X186" s="10" t="n">
        <x:v>526.263096</x:v>
      </x:c>
      <x:c r="Y186" s="10" t="n">
        <x:v>783.792698</x:v>
      </x:c>
      <x:c r="Z186" s="10" t="n">
        <x:v>994.523623</x:v>
      </x:c>
      <x:c r="AA186" s="10" t="n">
        <x:v>545.150133</x:v>
      </x:c>
      <x:c r="AB186" s="10" t="n">
        <x:v>687.910744</x:v>
      </x:c>
      <x:c r="AC186" s="10" t="n">
        <x:v>886.656519</x:v>
      </x:c>
      <x:c r="AD186" s="10" t="n">
        <x:v>750.662732</x:v>
      </x:c>
      <x:c r="AE186" s="10" t="n">
        <x:f>IF(A186=B186,0,AVERAGE(E186:Q186))</x:f>
        <x:v>399.146872076923</x:v>
      </x:c>
      <x:c r="AF186" s="10" t="n">
        <x:f>IF(A186=B186,0,AVERAGE(R186:AD186))</x:f>
        <x:v>776.9441042307693</x:v>
      </x:c>
      <x:c r="AG186" s="10" t="n">
        <x:f>AE186+AF186</x:f>
        <x:v>1176.0909763076922</x:v>
      </x:c>
    </x:row>
    <x:row r="187">
      <x:c r="A187" t="str">
        <x:v>ZA</x:v>
      </x:c>
      <x:c r="B187" t="str">
        <x:v>CH</x:v>
      </x:c>
      <x:c r="C187" t="str">
        <x:v>South Africa</x:v>
      </x:c>
      <x:c r="D187" t="str">
        <x:v>Switzerland</x:v>
      </x:c>
      <x:c r="E187" s="10" t="n">
        <x:v>322.52828</x:v>
      </x:c>
      <x:c r="F187" s="10" t="n">
        <x:v>262.654877</x:v>
      </x:c>
      <x:c r="G187" s="10" t="n">
        <x:v>239.438543</x:v>
      </x:c>
      <x:c r="H187" s="10" t="n">
        <x:v>757.912141</x:v>
      </x:c>
      <x:c r="I187" s="10" t="n">
        <x:v>1121.076554</x:v>
      </x:c>
      <x:c r="J187" s="10" t="n">
        <x:v>1245.316555</x:v>
      </x:c>
      <x:c r="K187" s="10" t="n">
        <x:v>1695.776714</x:v>
      </x:c>
      <x:c r="L187" s="10" t="n">
        <x:v>1411.050146</x:v>
      </x:c>
      <x:c r="M187" s="10" t="n">
        <x:v>1572.313154</x:v>
      </x:c>
      <x:c r="N187" s="10" t="n">
        <x:v>2565.962682</x:v>
      </x:c>
      <x:c r="O187" s="10" t="n">
        <x:v>2434.530662</x:v>
      </x:c>
      <x:c r="P187" s="10" t="n">
        <x:v>3132.78732</x:v>
      </x:c>
      <x:c r="Q187" s="10" t="n">
        <x:v>1832.744214</x:v>
      </x:c>
      <x:c r="R187" s="10" t="n">
        <x:v>692.465263</x:v>
      </x:c>
      <x:c r="S187" s="10" t="n">
        <x:v>500.104369</x:v>
      </x:c>
      <x:c r="T187" s="10" t="n">
        <x:v>479.373341</x:v>
      </x:c>
      <x:c r="U187" s="10" t="n">
        <x:v>488.534603</x:v>
      </x:c>
      <x:c r="V187" s="10" t="n">
        <x:v>507.931173</x:v>
      </x:c>
      <x:c r="W187" s="10" t="n">
        <x:v>751.007312</x:v>
      </x:c>
      <x:c r="X187" s="10" t="n">
        <x:v>637.527241</x:v>
      </x:c>
      <x:c r="Y187" s="10" t="n">
        <x:v>752.519158</x:v>
      </x:c>
      <x:c r="Z187" s="10" t="n">
        <x:v>802.110366</x:v>
      </x:c>
      <x:c r="AA187" s="10" t="n">
        <x:v>797.757192</x:v>
      </x:c>
      <x:c r="AB187" s="10" t="n">
        <x:v>1142.383544</x:v>
      </x:c>
      <x:c r="AC187" s="10" t="n">
        <x:v>1511.794754</x:v>
      </x:c>
      <x:c r="AD187" s="10" t="n">
        <x:v>854.987704</x:v>
      </x:c>
      <x:c r="AE187" s="10" t="n">
        <x:f>IF(A187=B187,0,AVERAGE(E187:Q187))</x:f>
        <x:v>1430.314757076923</x:v>
      </x:c>
      <x:c r="AF187" s="10" t="n">
        <x:f>IF(A187=B187,0,AVERAGE(R187:AD187))</x:f>
        <x:v>762.9612323076922</x:v>
      </x:c>
      <x:c r="AG187" s="10" t="n">
        <x:f>AE187+AF187</x:f>
        <x:v>2193.275989384615</x:v>
      </x:c>
    </x:row>
    <x:row r="188">
      <x:c r="A188" t="str">
        <x:v>ZA</x:v>
      </x:c>
      <x:c r="B188" t="str">
        <x:v>CN</x:v>
      </x:c>
      <x:c r="C188" t="str">
        <x:v>South Africa</x:v>
      </x:c>
      <x:c r="D188" t="str">
        <x:v>China, People's Republic of</x:v>
      </x:c>
      <x:c r="E188" s="10" t="n">
        <x:v>331.415656</x:v>
      </x:c>
      <x:c r="F188" s="10" t="n">
        <x:v>413.773508</x:v>
      </x:c>
      <x:c r="G188" s="10" t="n">
        <x:v>447.819266</x:v>
      </x:c>
      <x:c r="H188" s="10" t="n">
        <x:v>883.888355</x:v>
      </x:c>
      <x:c r="I188" s="10" t="n">
        <x:v>1048.588512</x:v>
      </x:c>
      <x:c r="J188" s="10" t="n">
        <x:v>1376.100486</x:v>
      </x:c>
      <x:c r="K188" s="10" t="n">
        <x:v>2085.134988</x:v>
      </x:c>
      <x:c r="L188" s="10" t="n">
        <x:v>4166.577716</x:v>
      </x:c>
      <x:c r="M188" s="10" t="n">
        <x:v>4383.691664</x:v>
      </x:c>
      <x:c r="N188" s="10" t="n">
        <x:v>5626.693263</x:v>
      </x:c>
      <x:c r="O188" s="10" t="n">
        <x:v>8122.897025</x:v>
      </x:c>
      <x:c r="P188" s="10" t="n">
        <x:v>12460.318496</x:v>
      </x:c>
      <x:c r="Q188" s="10" t="n">
        <x:v>10328.515279</x:v>
      </x:c>
      <x:c r="R188" s="10" t="n">
        <x:v>1058.207556</x:v>
      </x:c>
      <x:c r="S188" s="10" t="n">
        <x:v>1118.702576</x:v>
      </x:c>
      <x:c r="T188" s="10" t="n">
        <x:v>1434.073256</x:v>
      </x:c>
      <x:c r="U188" s="10" t="n">
        <x:v>2325.898781</x:v>
      </x:c>
      <x:c r="V188" s="10" t="n">
        <x:v>3772.999764</x:v>
      </x:c>
      <x:c r="W188" s="10" t="n">
        <x:v>5224.362135</x:v>
      </x:c>
      <x:c r="X188" s="10" t="n">
        <x:v>7222.271131</x:v>
      </x:c>
      <x:c r="Y188" s="10" t="n">
        <x:v>9100.52018</x:v>
      </x:c>
      <x:c r="Z188" s="10" t="n">
        <x:v>10609.798586</x:v>
      </x:c>
      <x:c r="AA188" s="10" t="n">
        <x:v>12232.667971</x:v>
      </x:c>
      <x:c r="AB188" s="10" t="n">
        <x:v>12190.820105</x:v>
      </x:c>
      <x:c r="AC188" s="10" t="n">
        <x:v>14964.4522</x:v>
      </x:c>
      <x:c r="AD188" s="10" t="n">
        <x:v>15445.850453</x:v>
      </x:c>
      <x:c r="AE188" s="10" t="n">
        <x:f>IF(A188=B188,0,AVERAGE(E188:Q188))</x:f>
        <x:v>3975.0318626153844</x:v>
      </x:c>
      <x:c r="AF188" s="10" t="n">
        <x:f>IF(A188=B188,0,AVERAGE(R188:AD188))</x:f>
        <x:v>7438.509591846154</x:v>
      </x:c>
      <x:c r="AG188" s="10" t="n">
        <x:f>AE188+AF188</x:f>
        <x:v>11413.541454461538</x:v>
      </x:c>
    </x:row>
    <x:row r="189">
      <x:c r="A189" t="str">
        <x:v>ZA</x:v>
      </x:c>
      <x:c r="B189" t="str">
        <x:v>EA</x:v>
      </x:c>
      <x:c r="C189" t="str">
        <x:v>South Africa</x:v>
      </x:c>
      <x:c r="D189" t="str">
        <x:v>Euro Area (EA)</x:v>
      </x:c>
      <x:c r="E189" s="10" t="n">
        <x:v>6111.753565</x:v>
      </x:c>
      <x:c r="F189" s="10" t="n">
        <x:v>5916.909889</x:v>
      </x:c>
      <x:c r="G189" s="10" t="n">
        <x:v>6322.401093</x:v>
      </x:c>
      <x:c r="H189" s="10" t="n">
        <x:v>7834.41756</x:v>
      </x:c>
      <x:c r="I189" s="10" t="n">
        <x:v>9906.934662</x:v>
      </x:c>
      <x:c r="J189" s="10" t="n">
        <x:v>11402.72337</x:v>
      </x:c>
      <x:c r="K189" s="10" t="n">
        <x:v>12969.668536</x:v>
      </x:c>
      <x:c r="L189" s="10" t="n">
        <x:v>15032.192146</x:v>
      </x:c>
      <x:c r="M189" s="10" t="n">
        <x:v>17764.506013</x:v>
      </x:c>
      <x:c r="N189" s="10" t="n">
        <x:v>10730.138092</x:v>
      </x:c>
      <x:c r="O189" s="10" t="n">
        <x:v>14202.555736</x:v>
      </x:c>
      <x:c r="P189" s="10" t="n">
        <x:v>15934.356232</x:v>
      </x:c>
      <x:c r="Q189" s="10" t="n">
        <x:v>13332.276845</x:v>
      </x:c>
      <x:c r="R189" s="10" t="n">
        <x:v>8347.851432</x:v>
      </x:c>
      <x:c r="S189" s="10" t="n">
        <x:v>8204.069265</x:v>
      </x:c>
      <x:c r="T189" s="10" t="n">
        <x:v>8571.408247</x:v>
      </x:c>
      <x:c r="U189" s="10" t="n">
        <x:v>11539.363146</x:v>
      </x:c>
      <x:c r="V189" s="10" t="n">
        <x:v>15516.975336</x:v>
      </x:c>
      <x:c r="W189" s="10" t="n">
        <x:v>17128.500134</x:v>
      </x:c>
      <x:c r="X189" s="10" t="n">
        <x:v>19229.754343</x:v>
      </x:c>
      <x:c r="Y189" s="10" t="n">
        <x:v>27879.581109</x:v>
      </x:c>
      <x:c r="Z189" s="10" t="n">
        <x:v>22337.329718</x:v>
      </x:c>
      <x:c r="AA189" s="10" t="n">
        <x:v>16754.204038</x:v>
      </x:c>
      <x:c r="AB189" s="10" t="n">
        <x:v>20689.699778</x:v>
      </x:c>
      <x:c r="AC189" s="10" t="n">
        <x:v>23874.320614</x:v>
      </x:c>
      <x:c r="AD189" s="10" t="n">
        <x:v>23431.598059</x:v>
      </x:c>
      <x:c r="AE189" s="10" t="n">
        <x:f>IF(A189=B189,0,AVERAGE(E189:Q189))</x:f>
        <x:v>11343.14105684615</x:v>
      </x:c>
      <x:c r="AF189" s="10" t="n">
        <x:f>IF(A189=B189,0,AVERAGE(R189:AD189))</x:f>
        <x:v>17192.665786076923</x:v>
      </x:c>
      <x:c r="AG189" s="10" t="n">
        <x:f>AE189+AF189</x:f>
        <x:v>28535.806842923073</x:v>
      </x:c>
    </x:row>
    <x:row r="190">
      <x:c r="A190" t="str">
        <x:v>ZA</x:v>
      </x:c>
      <x:c r="B190" t="str">
        <x:v>UK</x:v>
      </x:c>
      <x:c r="C190" t="str">
        <x:v>South Africa</x:v>
      </x:c>
      <x:c r="D190" t="str">
        <x:v>United Kingdom</x:v>
      </x:c>
      <x:c r="E190" s="10" t="n">
        <x:v>2257.496058</x:v>
      </x:c>
      <x:c r="F190" s="10" t="n">
        <x:v>2758.533385</x:v>
      </x:c>
      <x:c r="G190" s="10" t="n">
        <x:v>2506.154377</x:v>
      </x:c>
      <x:c r="H190" s="10" t="n">
        <x:v>3178.92795</x:v>
      </x:c>
      <x:c r="I190" s="10" t="n">
        <x:v>4187.222163</x:v>
      </x:c>
      <x:c r="J190" s="10" t="n">
        <x:v>5013.532459</x:v>
      </x:c>
      <x:c r="K190" s="10" t="n">
        <x:v>4630.030354</x:v>
      </x:c>
      <x:c r="L190" s="10" t="n">
        <x:v>4900.842436</x:v>
      </x:c>
      <x:c r="M190" s="10" t="n">
        <x:v>4935.647631</x:v>
      </x:c>
      <x:c r="N190" s="10" t="n">
        <x:v>3014.243564</x:v>
      </x:c>
      <x:c r="O190" s="10" t="n">
        <x:v>3676.551572</x:v>
      </x:c>
      <x:c r="P190" s="10" t="n">
        <x:v>3946.871968</x:v>
      </x:c>
      <x:c r="Q190" s="10" t="n">
        <x:v>3357.309205</x:v>
      </x:c>
      <x:c r="R190" s="10" t="n">
        <x:v>2441.970863</x:v>
      </x:c>
      <x:c r="S190" s="10" t="n">
        <x:v>2251.944485</x:v>
      </x:c>
      <x:c r="T190" s="10" t="n">
        <x:v>2514.902216</x:v>
      </x:c>
      <x:c r="U190" s="10" t="n">
        <x:v>3144.05457</x:v>
      </x:c>
      <x:c r="V190" s="10" t="n">
        <x:v>3430.765246</x:v>
      </x:c>
      <x:c r="W190" s="10" t="n">
        <x:v>3218.637554</x:v>
      </x:c>
      <x:c r="X190" s="10" t="n">
        <x:v>3585.042587</x:v>
      </x:c>
      <x:c r="Y190" s="10" t="n">
        <x:v>4077.019377</x:v>
      </x:c>
      <x:c r="Z190" s="10" t="n">
        <x:v>3838.202074</x:v>
      </x:c>
      <x:c r="AA190" s="10" t="n">
        <x:v>2710.397935</x:v>
      </x:c>
      <x:c r="AB190" s="10" t="n">
        <x:v>3262.073556</x:v>
      </x:c>
      <x:c r="AC190" s="10" t="n">
        <x:v>4330.892232</x:v>
      </x:c>
      <x:c r="AD190" s="10" t="n">
        <x:v>3737.936712</x:v>
      </x:c>
      <x:c r="AE190" s="10" t="n">
        <x:f>IF(A190=B190,0,AVERAGE(E190:Q190))</x:f>
        <x:v>3720.2587016923067</x:v>
      </x:c>
      <x:c r="AF190" s="10" t="n">
        <x:f>IF(A190=B190,0,AVERAGE(R190:AD190))</x:f>
        <x:v>3272.6030313076926</x:v>
      </x:c>
      <x:c r="AG190" s="10" t="n">
        <x:f>AE190+AF190</x:f>
        <x:v>6992.861733</x:v>
      </x:c>
    </x:row>
    <x:row r="191">
      <x:c r="A191" t="str">
        <x:v>ZA</x:v>
      </x:c>
      <x:c r="B191" t="str">
        <x:v>JP</x:v>
      </x:c>
      <x:c r="C191" t="str">
        <x:v>South Africa</x:v>
      </x:c>
      <x:c r="D191" t="str">
        <x:v>Japan</x:v>
      </x:c>
      <x:c r="E191" s="10" t="n">
        <x:v>1353.729569</x:v>
      </x:c>
      <x:c r="F191" s="10" t="n">
        <x:v>1193.942543</x:v>
      </x:c>
      <x:c r="G191" s="10" t="n">
        <x:v>1482.024911</x:v>
      </x:c>
      <x:c r="H191" s="10" t="n">
        <x:v>3129.102851</x:v>
      </x:c>
      <x:c r="I191" s="10" t="n">
        <x:v>4082.539697</x:v>
      </x:c>
      <x:c r="J191" s="10" t="n">
        <x:v>5125.647311</x:v>
      </x:c>
      <x:c r="K191" s="10" t="n">
        <x:v>6234.169976</x:v>
      </x:c>
      <x:c r="L191" s="10" t="n">
        <x:v>7024.959184</x:v>
      </x:c>
      <x:c r="M191" s="10" t="n">
        <x:v>8090.122774</x:v>
      </x:c>
      <x:c r="N191" s="10" t="n">
        <x:v>4127.318982</x:v>
      </x:c>
      <x:c r="O191" s="10" t="n">
        <x:v>6415.300652</x:v>
      </x:c>
      <x:c r="P191" s="10" t="n">
        <x:v>7656.771288</x:v>
      </x:c>
      <x:c r="Q191" s="10" t="n">
        <x:v>5681.496176</x:v>
      </x:c>
      <x:c r="R191" s="10" t="n">
        <x:v>2262.964864</x:v>
      </x:c>
      <x:c r="S191" s="10" t="n">
        <x:v>1808.209243</x:v>
      </x:c>
      <x:c r="T191" s="10" t="n">
        <x:v>1921.040183</x:v>
      </x:c>
      <x:c r="U191" s="10" t="n">
        <x:v>2549.275136</x:v>
      </x:c>
      <x:c r="V191" s="10" t="n">
        <x:v>3435.44953</x:v>
      </x:c>
      <x:c r="W191" s="10" t="n">
        <x:v>3929.914389</x:v>
      </x:c>
      <x:c r="X191" s="10" t="n">
        <x:v>4733.352704</x:v>
      </x:c>
      <x:c r="Y191" s="10" t="n">
        <x:v>5569.225922</x:v>
      </x:c>
      <x:c r="Z191" s="10" t="n">
        <x:v>5273.32203</x:v>
      </x:c>
      <x:c r="AA191" s="10" t="n">
        <x:v>3319.965801</x:v>
      </x:c>
      <x:c r="AB191" s="10" t="n">
        <x:v>4504.159896</x:v>
      </x:c>
      <x:c r="AC191" s="10" t="n">
        <x:v>5006.426024</x:v>
      </x:c>
      <x:c r="AD191" s="10" t="n">
        <x:v>4899.356344</x:v>
      </x:c>
      <x:c r="AE191" s="10" t="n">
        <x:f>IF(A191=B191,0,AVERAGE(E191:Q191))</x:f>
        <x:v>4738.240454923077</x:v>
      </x:c>
      <x:c r="AF191" s="10" t="n">
        <x:f>IF(A191=B191,0,AVERAGE(R191:AD191))</x:f>
        <x:v>3785.5893896923076</x:v>
      </x:c>
      <x:c r="AG191" s="10" t="n">
        <x:f>AE191+AF191</x:f>
        <x:v>8523.829844615384</x:v>
      </x:c>
    </x:row>
    <x:row r="192">
      <x:c r="A192" t="str">
        <x:v>ZA</x:v>
      </x:c>
      <x:c r="B192" t="str">
        <x:v>KR</x:v>
      </x:c>
      <x:c r="C192" t="str">
        <x:v>South Africa</x:v>
      </x:c>
      <x:c r="D192" t="str">
        <x:v>Korea, Republic of</x:v>
      </x:c>
      <x:c r="E192" s="10" t="n">
        <x:v>595.446193</x:v>
      </x:c>
      <x:c r="F192" s="10" t="n">
        <x:v>455.576557</x:v>
      </x:c>
      <x:c r="G192" s="10" t="n">
        <x:v>475.4489</x:v>
      </x:c>
      <x:c r="H192" s="10" t="n">
        <x:v>576.669687</x:v>
      </x:c>
      <x:c r="I192" s="10" t="n">
        <x:v>693.811084</x:v>
      </x:c>
      <x:c r="J192" s="10" t="n">
        <x:v>833.693033</x:v>
      </x:c>
      <x:c r="K192" s="10" t="n">
        <x:v>900.986042</x:v>
      </x:c>
      <x:c r="L192" s="10" t="n">
        <x:v>1166.000565</x:v>
      </x:c>
      <x:c r="M192" s="10" t="n">
        <x:v>1548.001211</x:v>
      </x:c>
      <x:c r="N192" s="10" t="n">
        <x:v>945.640422</x:v>
      </x:c>
      <x:c r="O192" s="10" t="n">
        <x:v>1683.792863</x:v>
      </x:c>
      <x:c r="P192" s="10" t="n">
        <x:v>2220.905006</x:v>
      </x:c>
      <x:c r="Q192" s="10" t="n">
        <x:v>1522.955594</x:v>
      </x:c>
      <x:c r="R192" s="10" t="n">
        <x:v>538.045557</x:v>
      </x:c>
      <x:c r="S192" s="10" t="n">
        <x:v>473.515556</x:v>
      </x:c>
      <x:c r="T192" s="10" t="n">
        <x:v>451.320136</x:v>
      </x:c>
      <x:c r="U192" s="10" t="n">
        <x:v>585.163989</x:v>
      </x:c>
      <x:c r="V192" s="10" t="n">
        <x:v>1064.855349</x:v>
      </x:c>
      <x:c r="W192" s="10" t="n">
        <x:v>1536.108642</x:v>
      </x:c>
      <x:c r="X192" s="10" t="n">
        <x:v>1839.966627</x:v>
      </x:c>
      <x:c r="Y192" s="10" t="n">
        <x:v>1896.365885</x:v>
      </x:c>
      <x:c r="Z192" s="10" t="n">
        <x:v>1557.670832</x:v>
      </x:c>
      <x:c r="AA192" s="10" t="n">
        <x:v>1227.116808</x:v>
      </x:c>
      <x:c r="AB192" s="10" t="n">
        <x:v>1852.535113</x:v>
      </x:c>
      <x:c r="AC192" s="10" t="n">
        <x:v>2382.744605</x:v>
      </x:c>
      <x:c r="AD192" s="10" t="n">
        <x:v>2401.209761</x:v>
      </x:c>
      <x:c r="AE192" s="10" t="n">
        <x:f>IF(A192=B192,0,AVERAGE(E192:Q192))</x:f>
        <x:v>1047.6097813076922</x:v>
      </x:c>
      <x:c r="AF192" s="10" t="n">
        <x:f>IF(A192=B192,0,AVERAGE(R192:AD192))</x:f>
        <x:v>1369.7399123076925</x:v>
      </x:c>
      <x:c r="AG192" s="10" t="n">
        <x:f>AE192+AF192</x:f>
        <x:v>2417.3496936153847</x:v>
      </x:c>
    </x:row>
    <x:row r="193">
      <x:c r="A193" t="str">
        <x:v>ZA</x:v>
      </x:c>
      <x:c r="B193" t="str">
        <x:v>NO</x:v>
      </x:c>
      <x:c r="C193" t="str">
        <x:v>South Africa</x:v>
      </x:c>
      <x:c r="D193" t="str">
        <x:v>Norway</x:v>
      </x:c>
      <x:c r="E193" s="10" t="n">
        <x:v>25.444626</x:v>
      </x:c>
      <x:c r="F193" s="10" t="n">
        <x:v>4.880316</x:v>
      </x:c>
      <x:c r="G193" s="10" t="n">
        <x:v>34.847464</x:v>
      </x:c>
      <x:c r="H193" s="10" t="n">
        <x:v>41.581841</x:v>
      </x:c>
      <x:c r="I193" s="10" t="n">
        <x:v>40.543462</x:v>
      </x:c>
      <x:c r="J193" s="10" t="n">
        <x:v>46.407123</x:v>
      </x:c>
      <x:c r="K193" s="10" t="n">
        <x:v>69.632942</x:v>
      </x:c>
      <x:c r="L193" s="10" t="n">
        <x:v>187.745498</x:v>
      </x:c>
      <x:c r="M193" s="10" t="n">
        <x:v>219.789406</x:v>
      </x:c>
      <x:c r="N193" s="10" t="n">
        <x:v>216.79231</x:v>
      </x:c>
      <x:c r="O193" s="10" t="n">
        <x:v>273.635575</x:v>
      </x:c>
      <x:c r="P193" s="10" t="n">
        <x:v>254.090236</x:v>
      </x:c>
      <x:c r="Q193" s="10" t="n">
        <x:v>297.798919</x:v>
      </x:c>
      <x:c r="R193" s="10" t="n">
        <x:v>32.81841</x:v>
      </x:c>
      <x:c r="S193" s="10" t="n">
        <x:v>30.737713</x:v>
      </x:c>
      <x:c r="T193" s="10" t="n">
        <x:v>33.938265</x:v>
      </x:c>
      <x:c r="U193" s="10" t="n">
        <x:v>50.98829</x:v>
      </x:c>
      <x:c r="V193" s="10" t="n">
        <x:v>56.776082</x:v>
      </x:c>
      <x:c r="W193" s="10" t="n">
        <x:v>74.816219</x:v>
      </x:c>
      <x:c r="X193" s="10" t="n">
        <x:v>93.59558</x:v>
      </x:c>
      <x:c r="Y193" s="10" t="n">
        <x:v>161.157257</x:v>
      </x:c>
      <x:c r="Z193" s="10" t="n">
        <x:v>204.938493</x:v>
      </x:c>
      <x:c r="AA193" s="10" t="n">
        <x:v>121.381394</x:v>
      </x:c>
      <x:c r="AB193" s="10" t="n">
        <x:v>124.775953</x:v>
      </x:c>
      <x:c r="AC193" s="10" t="n">
        <x:v>107.216266</x:v>
      </x:c>
      <x:c r="AD193" s="10" t="n">
        <x:v>112.181415</x:v>
      </x:c>
      <x:c r="AE193" s="10" t="n">
        <x:f>IF(A193=B193,0,AVERAGE(E193:Q193))</x:f>
        <x:v>131.78382446153847</x:v>
      </x:c>
      <x:c r="AF193" s="10" t="n">
        <x:f>IF(A193=B193,0,AVERAGE(R193:AD193))</x:f>
        <x:v>92.71702592307692</x:v>
      </x:c>
      <x:c r="AG193" s="10" t="n">
        <x:f>AE193+AF193</x:f>
        <x:v>224.50085038461538</x:v>
      </x:c>
    </x:row>
    <x:row r="194">
      <x:c r="A194" t="str">
        <x:v>ZA</x:v>
      </x:c>
      <x:c r="B194" t="str">
        <x:v>SG</x:v>
      </x:c>
      <x:c r="C194" t="str">
        <x:v>South Africa</x:v>
      </x:c>
      <x:c r="D194" t="str">
        <x:v>Singapore</x:v>
      </x:c>
      <x:c r="E194" s="10" t="n">
        <x:v>214.599327</x:v>
      </x:c>
      <x:c r="F194" s="10" t="n">
        <x:v>264.138588</x:v>
      </x:c>
      <x:c r="G194" s="10" t="n">
        <x:v>167.948927</x:v>
      </x:c>
      <x:c r="H194" s="10" t="n">
        <x:v>227.181708</x:v>
      </x:c>
      <x:c r="I194" s="10" t="n">
        <x:v>306.89235</x:v>
      </x:c>
      <x:c r="J194" s="10" t="n">
        <x:v>415.285305</x:v>
      </x:c>
      <x:c r="K194" s="10" t="n">
        <x:v>492.402989</x:v>
      </x:c>
      <x:c r="L194" s="10" t="n">
        <x:v>359.268494</x:v>
      </x:c>
      <x:c r="M194" s="10" t="n">
        <x:v>552.023179</x:v>
      </x:c>
      <x:c r="N194" s="10" t="n">
        <x:v>311.333138</x:v>
      </x:c>
      <x:c r="O194" s="10" t="n">
        <x:v>353.124157</x:v>
      </x:c>
      <x:c r="P194" s="10" t="n">
        <x:v>378.749163</x:v>
      </x:c>
      <x:c r="Q194" s="10" t="n">
        <x:v>887.60649</x:v>
      </x:c>
      <x:c r="R194" s="10" t="n">
        <x:v>218.011791</x:v>
      </x:c>
      <x:c r="S194" s="10" t="n">
        <x:v>180.980491</x:v>
      </x:c>
      <x:c r="T194" s="10" t="n">
        <x:v>219.359009</x:v>
      </x:c>
      <x:c r="U194" s="10" t="n">
        <x:v>293.077787</x:v>
      </x:c>
      <x:c r="V194" s="10" t="n">
        <x:v>427.614553</x:v>
      </x:c>
      <x:c r="W194" s="10" t="n">
        <x:v>478.522761</x:v>
      </x:c>
      <x:c r="X194" s="10" t="n">
        <x:v>1098.96559</x:v>
      </x:c>
      <x:c r="Y194" s="10" t="n">
        <x:v>692.164332</x:v>
      </x:c>
      <x:c r="Z194" s="10" t="n">
        <x:v>918.143323</x:v>
      </x:c>
      <x:c r="AA194" s="10" t="n">
        <x:v>630.423188</x:v>
      </x:c>
      <x:c r="AB194" s="10" t="n">
        <x:v>931.223069</x:v>
      </x:c>
      <x:c r="AC194" s="10" t="n">
        <x:v>1190.003602</x:v>
      </x:c>
      <x:c r="AD194" s="10" t="n">
        <x:v>1317.807049</x:v>
      </x:c>
      <x:c r="AE194" s="10" t="n">
        <x:f>IF(A194=B194,0,AVERAGE(E194:Q194))</x:f>
        <x:v>379.2733703846154</x:v>
      </x:c>
      <x:c r="AF194" s="10" t="n">
        <x:f>IF(A194=B194,0,AVERAGE(R194:AD194))</x:f>
        <x:v>661.2535803846154</x:v>
      </x:c>
      <x:c r="AG194" s="10" t="n">
        <x:f>AE194+AF194</x:f>
        <x:v>1040.5269507692308</x:v>
      </x:c>
    </x:row>
    <x:row r="195">
      <x:c r="A195" t="str">
        <x:v>ZA</x:v>
      </x:c>
      <x:c r="B195" t="str">
        <x:v>TR</x:v>
      </x:c>
      <x:c r="C195" t="str">
        <x:v>South Africa</x:v>
      </x:c>
      <x:c r="D195" t="str">
        <x:v>Türkiye, Republic of</x:v>
      </x:c>
      <x:c r="E195" s="10" t="n">
        <x:v>104.206072</x:v>
      </x:c>
      <x:c r="F195" s="10" t="n">
        <x:v>72.029951</x:v>
      </x:c>
      <x:c r="G195" s="10" t="n">
        <x:v>127.034754</x:v>
      </x:c>
      <x:c r="H195" s="10" t="n">
        <x:v>151.054206</x:v>
      </x:c>
      <x:c r="I195" s="10" t="n">
        <x:v>157.668987</x:v>
      </x:c>
      <x:c r="J195" s="10" t="n">
        <x:v>225.240427</x:v>
      </x:c>
      <x:c r="K195" s="10" t="n">
        <x:v>369.294108</x:v>
      </x:c>
      <x:c r="L195" s="10" t="n">
        <x:v>316.037803</x:v>
      </x:c>
      <x:c r="M195" s="10" t="n">
        <x:v>547.230258</x:v>
      </x:c>
      <x:c r="N195" s="10" t="n">
        <x:v>264.662987</x:v>
      </x:c>
      <x:c r="O195" s="10" t="n">
        <x:v>397.623791</x:v>
      </x:c>
      <x:c r="P195" s="10" t="n">
        <x:v>553.035956</x:v>
      </x:c>
      <x:c r="Q195" s="10" t="n">
        <x:v>657.525259</x:v>
      </x:c>
      <x:c r="R195" s="10" t="n">
        <x:v>58.366462</x:v>
      </x:c>
      <x:c r="S195" s="10" t="n">
        <x:v>62.906348</x:v>
      </x:c>
      <x:c r="T195" s="10" t="n">
        <x:v>80.923388</x:v>
      </x:c>
      <x:c r="U195" s="10" t="n">
        <x:v>136.955151</x:v>
      </x:c>
      <x:c r="V195" s="10" t="n">
        <x:v>207.393978</x:v>
      </x:c>
      <x:c r="W195" s="10" t="n">
        <x:v>331.782148</x:v>
      </x:c>
      <x:c r="X195" s="10" t="n">
        <x:v>504.056116</x:v>
      </x:c>
      <x:c r="Y195" s="10" t="n">
        <x:v>736.875263</x:v>
      </x:c>
      <x:c r="Z195" s="10" t="n">
        <x:v>741.778699</x:v>
      </x:c>
      <x:c r="AA195" s="10" t="n">
        <x:v>363.018513</x:v>
      </x:c>
      <x:c r="AB195" s="10" t="n">
        <x:v>296.163547</x:v>
      </x:c>
      <x:c r="AC195" s="10" t="n">
        <x:v>596.755948</x:v>
      </x:c>
      <x:c r="AD195" s="10" t="n">
        <x:v>533.1728</x:v>
      </x:c>
      <x:c r="AE195" s="10" t="n">
        <x:f>IF(A195=B195,0,AVERAGE(E195:Q195))</x:f>
        <x:v>303.2803506923077</x:v>
      </x:c>
      <x:c r="AF195" s="10" t="n">
        <x:f>IF(A195=B195,0,AVERAGE(R195:AD195))</x:f>
        <x:v>357.7037200769231</x:v>
      </x:c>
      <x:c r="AG195" s="10" t="n">
        <x:f>AE195+AF195</x:f>
        <x:v>660.9840707692308</x:v>
      </x:c>
    </x:row>
    <x:row r="196">
      <x:c r="A196" t="str">
        <x:v>ZA</x:v>
      </x:c>
      <x:c r="B196" t="str">
        <x:v>US</x:v>
      </x:c>
      <x:c r="C196" t="str">
        <x:v>South Africa</x:v>
      </x:c>
      <x:c r="D196" t="str">
        <x:v>United States</x:v>
      </x:c>
      <x:c r="E196" s="10" t="n">
        <x:v>2406.831055</x:v>
      </x:c>
      <x:c r="F196" s="10" t="n">
        <x:v>2398.008589</x:v>
      </x:c>
      <x:c r="G196" s="10" t="n">
        <x:v>2427.074111</x:v>
      </x:c>
      <x:c r="H196" s="10" t="n">
        <x:v>3824.059638</x:v>
      </x:c>
      <x:c r="I196" s="10" t="n">
        <x:v>4658.767913</x:v>
      </x:c>
      <x:c r="J196" s="10" t="n">
        <x:v>4894.651634</x:v>
      </x:c>
      <x:c r="K196" s="10" t="n">
        <x:v>6069.579804</x:v>
      </x:c>
      <x:c r="L196" s="10" t="n">
        <x:v>7537.840898</x:v>
      </x:c>
      <x:c r="M196" s="10" t="n">
        <x:v>8082.60148</x:v>
      </x:c>
      <x:c r="N196" s="10" t="n">
        <x:v>5002.680566</x:v>
      </x:c>
      <x:c r="O196" s="10" t="n">
        <x:v>7214.018491</x:v>
      </x:c>
      <x:c r="P196" s="10" t="n">
        <x:v>8214.556295</x:v>
      </x:c>
      <x:c r="Q196" s="10" t="n">
        <x:v>7832.399932</x:v>
      </x:c>
      <x:c r="R196" s="10" t="n">
        <x:v>3363.365454</x:v>
      </x:c>
      <x:c r="S196" s="10" t="n">
        <x:v>3190.26774</x:v>
      </x:c>
      <x:c r="T196" s="10" t="n">
        <x:v>3152.949254</x:v>
      </x:c>
      <x:c r="U196" s="10" t="n">
        <x:v>3546.872545</x:v>
      </x:c>
      <x:c r="V196" s="10" t="n">
        <x:v>4237.562914</x:v>
      </x:c>
      <x:c r="W196" s="10" t="n">
        <x:v>4539.958536</x:v>
      </x:c>
      <x:c r="X196" s="10" t="n">
        <x:v>5490.768133</x:v>
      </x:c>
      <x:c r="Y196" s="10" t="n">
        <x:v>6524.370494</x:v>
      </x:c>
      <x:c r="Z196" s="10" t="n">
        <x:v>7533.052033</x:v>
      </x:c>
      <x:c r="AA196" s="10" t="n">
        <x:v>5243.959515</x:v>
      </x:c>
      <x:c r="AB196" s="10" t="n">
        <x:v>6351.431727</x:v>
      </x:c>
      <x:c r="AC196" s="10" t="n">
        <x:v>8510.464285</x:v>
      </x:c>
      <x:c r="AD196" s="10" t="n">
        <x:v>7953.797453</x:v>
      </x:c>
      <x:c r="AE196" s="10" t="n">
        <x:f>IF(A196=B196,0,AVERAGE(E196:Q196))</x:f>
        <x:v>5427.9284927692315</x:v>
      </x:c>
      <x:c r="AF196" s="10" t="n">
        <x:f>IF(A196=B196,0,AVERAGE(R196:AD196))</x:f>
        <x:v>5356.832314076924</x:v>
      </x:c>
      <x:c r="AG196" s="10" t="n">
        <x:f>AE196+AF196</x:f>
        <x:v>10784.760806846156</x:v>
      </x:c>
    </x:row>
    <x:row r="197">
      <x:c r="A197" t="str">
        <x:v>ZA</x:v>
      </x:c>
      <x:c r="B197" t="str">
        <x:v>ZA</x:v>
      </x:c>
      <x:c r="C197" t="str">
        <x:v>South Africa</x:v>
      </x:c>
      <x:c r="D197" t="str">
        <x:v>South Africa</x:v>
      </x:c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  <x:c r="AA197" s="10"/>
      <x:c r="AB197" s="10"/>
      <x:c r="AC197" s="10"/>
      <x:c r="AD197" s="10"/>
      <x:c r="AE197" s="10" t="n">
        <x:f>IF(A197=B197,0,AVERAGE(E197:Q197))</x:f>
        <x:v>0</x:v>
      </x:c>
      <x:c r="AF197" s="10" t="n">
        <x:f>IF(A197=B197,0,AVERAGE(R197:AD197))</x:f>
        <x:v>0</x:v>
      </x:c>
      <x:c r="AG197" s="10" t="n">
        <x:f>AE197+AF197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15" t="str">
        <x:v>Average Bilateral Trade, 2000–2012 (USD millions)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3">
      <x:c r="A3" s="5" t="str">
        <x:v>Reporter \ Partner</x:v>
      </x:c>
      <x:c r="B3" s="5" t="str">
        <x:v>AU</x:v>
      </x:c>
      <x:c r="C3" s="5" t="str">
        <x:v>BR</x:v>
      </x:c>
      <x:c r="D3" s="5" t="str">
        <x:v>CA</x:v>
      </x:c>
      <x:c r="E3" s="5" t="str">
        <x:v>CH</x:v>
      </x:c>
      <x:c r="F3" s="5" t="str">
        <x:v>CN</x:v>
      </x:c>
      <x:c r="G3" s="5" t="str">
        <x:v>EA</x:v>
      </x:c>
      <x:c r="H3" s="5" t="str">
        <x:v>UK</x:v>
      </x:c>
      <x:c r="I3" s="5" t="str">
        <x:v>JP</x:v>
      </x:c>
      <x:c r="J3" s="5" t="str">
        <x:v>KR</x:v>
      </x:c>
      <x:c r="K3" s="5" t="str">
        <x:v>NO</x:v>
      </x:c>
      <x:c r="L3" s="5" t="str">
        <x:v>SG</x:v>
      </x:c>
      <x:c r="M3" s="5" t="str">
        <x:v>TR</x:v>
      </x:c>
      <x:c r="N3" s="5" t="str">
        <x:v>US</x:v>
      </x:c>
      <x:c r="O3" s="5" t="str">
        <x:v>ZA</x:v>
      </x:c>
    </x:row>
    <x:row r="4">
      <x:c r="A4" s="23" t="str">
        <x:v>AU</x:v>
      </x:c>
      <x:c r="B4" s="36" t="n">
        <x:f>0</x:f>
        <x:v>0</x:v>
      </x:c>
      <x:c r="C4" s="36" t="n">
        <x:f>SUMIFS(Source_Bilateral!$AG$2:$AG$197,Source_Bilateral!$A$2:$A$197,$A4,Source_Bilateral!$B$2:$B$197,C$3)</x:f>
        <x:v>1333.3852743076923</x:v>
      </x:c>
      <x:c r="D4" s="36" t="n">
        <x:f>SUMIFS(Source_Bilateral!$AG$2:$AG$197,Source_Bilateral!$A$2:$A$197,$A4,Source_Bilateral!$B$2:$B$197,D$3)</x:f>
        <x:v>2856.813697153846</x:v>
      </x:c>
      <x:c r="E4" s="36" t="n">
        <x:f>SUMIFS(Source_Bilateral!$AG$2:$AG$197,Source_Bilateral!$A$2:$A$197,$A4,Source_Bilateral!$B$2:$B$197,E$3)</x:f>
        <x:v>2015.3472858461537</x:v>
      </x:c>
      <x:c r="F4" s="36" t="n">
        <x:f>SUMIFS(Source_Bilateral!$AG$2:$AG$197,Source_Bilateral!$A$2:$A$197,$A4,Source_Bilateral!$B$2:$B$197,F$3)</x:f>
        <x:v>49051.469290384615</x:v>
      </x:c>
      <x:c r="G4" s="36" t="n">
        <x:f>SUMIFS(Source_Bilateral!$AG$2:$AG$197,Source_Bilateral!$A$2:$A$197,$A4,Source_Bilateral!$B$2:$B$197,G$3)</x:f>
        <x:v>29187.603321923074</x:v>
      </x:c>
      <x:c r="H4" s="36" t="n">
        <x:f>SUMIFS(Source_Bilateral!$AG$2:$AG$197,Source_Bilateral!$A$2:$A$197,$A4,Source_Bilateral!$B$2:$B$197,H$3)</x:f>
        <x:v>10754.723622461537</x:v>
      </x:c>
      <x:c r="I4" s="36" t="n">
        <x:f>SUMIFS(Source_Bilateral!$AG$2:$AG$197,Source_Bilateral!$A$2:$A$197,$A4,Source_Bilateral!$B$2:$B$197,I$3)</x:f>
        <x:v>41207.24436138461</x:v>
      </x:c>
      <x:c r="J4" s="36" t="n">
        <x:f>SUMIFS(Source_Bilateral!$AG$2:$AG$197,Source_Bilateral!$A$2:$A$197,$A4,Source_Bilateral!$B$2:$B$197,J$3)</x:f>
        <x:v>16450.172435692308</x:v>
      </x:c>
      <x:c r="K4" s="36" t="n">
        <x:f>SUMIFS(Source_Bilateral!$AG$2:$AG$197,Source_Bilateral!$A$2:$A$197,$A4,Source_Bilateral!$B$2:$B$197,K$3)</x:f>
        <x:v>357.6977030769231</x:v>
      </x:c>
      <x:c r="L4" s="36" t="n">
        <x:f>SUMIFS(Source_Bilateral!$AG$2:$AG$197,Source_Bilateral!$A$2:$A$197,$A4,Source_Bilateral!$B$2:$B$197,L$3)</x:f>
        <x:v>12032.721138461538</x:v>
      </x:c>
      <x:c r="M4" s="36" t="n">
        <x:f>SUMIFS(Source_Bilateral!$AG$2:$AG$197,Source_Bilateral!$A$2:$A$197,$A4,Source_Bilateral!$B$2:$B$197,M$3)</x:f>
        <x:v>668.0854697692307</x:v>
      </x:c>
      <x:c r="N4" s="36" t="n">
        <x:f>SUMIFS(Source_Bilateral!$AG$2:$AG$197,Source_Bilateral!$A$2:$A$197,$A4,Source_Bilateral!$B$2:$B$197,N$3)</x:f>
        <x:v>27390.858454230765</x:v>
      </x:c>
      <x:c r="O4" s="36" t="n">
        <x:f>SUMIFS(Source_Bilateral!$AG$2:$AG$197,Source_Bilateral!$A$2:$A$197,$A4,Source_Bilateral!$B$2:$B$197,O$3)</x:f>
        <x:v>2291.8204251538464</x:v>
      </x:c>
    </x:row>
    <x:row r="5">
      <x:c r="A5" s="23" t="str">
        <x:v>BR</x:v>
      </x:c>
      <x:c r="B5" s="36" t="n">
        <x:f>SUMIFS(Source_Bilateral!$AG$2:$AG$197,Source_Bilateral!$A$2:$A$197,$A5,Source_Bilateral!$B$2:$B$197,B$3)</x:f>
        <x:v>1351.8764126923074</x:v>
      </x:c>
      <x:c r="C5" s="36" t="n">
        <x:f>0</x:f>
        <x:v>0</x:v>
      </x:c>
      <x:c r="D5" s="36" t="n">
        <x:f>SUMIFS(Source_Bilateral!$AG$2:$AG$197,Source_Bilateral!$A$2:$A$197,$A5,Source_Bilateral!$B$2:$B$197,D$3)</x:f>
        <x:v>3582.2155241538467</x:v>
      </x:c>
      <x:c r="E5" s="36" t="n">
        <x:f>SUMIFS(Source_Bilateral!$AG$2:$AG$197,Source_Bilateral!$A$2:$A$197,$A5,Source_Bilateral!$B$2:$B$197,E$3)</x:f>
        <x:v>2865.4926470769233</x:v>
      </x:c>
      <x:c r="F5" s="36" t="n">
        <x:f>SUMIFS(Source_Bilateral!$AG$2:$AG$197,Source_Bilateral!$A$2:$A$197,$A5,Source_Bilateral!$B$2:$B$197,F$3)</x:f>
        <x:v>28255.877767923077</x:v>
      </x:c>
      <x:c r="G5" s="36" t="n">
        <x:f>SUMIFS(Source_Bilateral!$AG$2:$AG$197,Source_Bilateral!$A$2:$A$197,$A5,Source_Bilateral!$B$2:$B$197,G$3)</x:f>
        <x:v>50228.47677030769</x:v>
      </x:c>
      <x:c r="H5" s="36" t="n">
        <x:f>SUMIFS(Source_Bilateral!$AG$2:$AG$197,Source_Bilateral!$A$2:$A$197,$A5,Source_Bilateral!$B$2:$B$197,H$3)</x:f>
        <x:v>5163.327430538462</x:v>
      </x:c>
      <x:c r="I5" s="36" t="n">
        <x:f>SUMIFS(Source_Bilateral!$AG$2:$AG$197,Source_Bilateral!$A$2:$A$197,$A5,Source_Bilateral!$B$2:$B$197,I$3)</x:f>
        <x:v>9413.573449846153</x:v>
      </x:c>
      <x:c r="J5" s="36" t="n">
        <x:f>SUMIFS(Source_Bilateral!$AG$2:$AG$197,Source_Bilateral!$A$2:$A$197,$A5,Source_Bilateral!$B$2:$B$197,J$3)</x:f>
        <x:v>6622.248742692308</x:v>
      </x:c>
      <x:c r="K5" s="36" t="n">
        <x:f>SUMIFS(Source_Bilateral!$AG$2:$AG$197,Source_Bilateral!$A$2:$A$197,$A5,Source_Bilateral!$B$2:$B$197,K$3)</x:f>
        <x:v>1015.0487258461537</x:v>
      </x:c>
      <x:c r="L5" s="36" t="n">
        <x:f>SUMIFS(Source_Bilateral!$AG$2:$AG$197,Source_Bilateral!$A$2:$A$197,$A5,Source_Bilateral!$B$2:$B$197,L$3)</x:f>
        <x:v>1996.0165602307693</x:v>
      </x:c>
      <x:c r="M5" s="36" t="n">
        <x:f>SUMIFS(Source_Bilateral!$AG$2:$AG$197,Source_Bilateral!$A$2:$A$197,$A5,Source_Bilateral!$B$2:$B$197,M$3)</x:f>
        <x:v>981.7769512307692</x:v>
      </x:c>
      <x:c r="N5" s="36" t="n">
        <x:f>SUMIFS(Source_Bilateral!$AG$2:$AG$197,Source_Bilateral!$A$2:$A$197,$A5,Source_Bilateral!$B$2:$B$197,N$3)</x:f>
        <x:v>40641.80865523077</x:v>
      </x:c>
      <x:c r="O5" s="36" t="n">
        <x:f>SUMIFS(Source_Bilateral!$AG$2:$AG$197,Source_Bilateral!$A$2:$A$197,$A5,Source_Bilateral!$B$2:$B$197,O$3)</x:f>
        <x:v>1684.1043676153847</x:v>
      </x:c>
    </x:row>
    <x:row r="6">
      <x:c r="A6" s="23" t="str">
        <x:v>CA</x:v>
      </x:c>
      <x:c r="B6" s="36" t="n">
        <x:f>SUMIFS(Source_Bilateral!$AG$2:$AG$197,Source_Bilateral!$A$2:$A$197,$A6,Source_Bilateral!$B$2:$B$197,B$3)</x:f>
        <x:v>2912.8108899999997</x:v>
      </x:c>
      <x:c r="C6" s="36" t="n">
        <x:f>SUMIFS(Source_Bilateral!$AG$2:$AG$197,Source_Bilateral!$A$2:$A$197,$A6,Source_Bilateral!$B$2:$B$197,C$3)</x:f>
        <x:v>3951.244171615384</x:v>
      </x:c>
      <x:c r="D6" s="36" t="n">
        <x:f>0</x:f>
        <x:v>0</x:v>
      </x:c>
      <x:c r="E6" s="36" t="n">
        <x:f>SUMIFS(Source_Bilateral!$AG$2:$AG$197,Source_Bilateral!$A$2:$A$197,$A6,Source_Bilateral!$B$2:$B$197,E$3)</x:f>
        <x:v>2959.450113615384</x:v>
      </x:c>
      <x:c r="F6" s="36" t="n">
        <x:f>SUMIFS(Source_Bilateral!$AG$2:$AG$197,Source_Bilateral!$A$2:$A$197,$A6,Source_Bilateral!$B$2:$B$197,F$3)</x:f>
        <x:v>38050.80071684616</x:v>
      </x:c>
      <x:c r="G6" s="36" t="n">
        <x:f>SUMIFS(Source_Bilateral!$AG$2:$AG$197,Source_Bilateral!$A$2:$A$197,$A6,Source_Bilateral!$B$2:$B$197,G$3)</x:f>
        <x:v>41069.57690946154</x:v>
      </x:c>
      <x:c r="H6" s="36" t="n">
        <x:f>SUMIFS(Source_Bilateral!$AG$2:$AG$197,Source_Bilateral!$A$2:$A$197,$A6,Source_Bilateral!$B$2:$B$197,H$3)</x:f>
        <x:v>18817.17993015385</x:v>
      </x:c>
      <x:c r="I6" s="36" t="n">
        <x:f>SUMIFS(Source_Bilateral!$AG$2:$AG$197,Source_Bilateral!$A$2:$A$197,$A6,Source_Bilateral!$B$2:$B$197,I$3)</x:f>
        <x:v>20572.239332999998</x:v>
      </x:c>
      <x:c r="J6" s="36" t="n">
        <x:f>SUMIFS(Source_Bilateral!$AG$2:$AG$197,Source_Bilateral!$A$2:$A$197,$A6,Source_Bilateral!$B$2:$B$197,J$3)</x:f>
        <x:v>7707.486301923078</x:v>
      </x:c>
      <x:c r="K6" s="36" t="n">
        <x:f>SUMIFS(Source_Bilateral!$AG$2:$AG$197,Source_Bilateral!$A$2:$A$197,$A6,Source_Bilateral!$B$2:$B$197,K$3)</x:f>
        <x:v>5608.950463538462</x:v>
      </x:c>
      <x:c r="L6" s="36" t="n">
        <x:f>SUMIFS(Source_Bilateral!$AG$2:$AG$197,Source_Bilateral!$A$2:$A$197,$A6,Source_Bilateral!$B$2:$B$197,L$3)</x:f>
        <x:v>1678.4311011538457</x:v>
      </x:c>
      <x:c r="M6" s="36" t="n">
        <x:f>SUMIFS(Source_Bilateral!$AG$2:$AG$197,Source_Bilateral!$A$2:$A$197,$A6,Source_Bilateral!$B$2:$B$197,M$3)</x:f>
        <x:v>1183.0810179999999</x:v>
      </x:c>
      <x:c r="N6" s="36" t="n">
        <x:f>SUMIFS(Source_Bilateral!$AG$2:$AG$197,Source_Bilateral!$A$2:$A$197,$A6,Source_Bilateral!$B$2:$B$197,N$3)</x:f>
        <x:v>476073.82767630764</x:v>
      </x:c>
      <x:c r="O6" s="36" t="n">
        <x:f>SUMIFS(Source_Bilateral!$AG$2:$AG$197,Source_Bilateral!$A$2:$A$197,$A6,Source_Bilateral!$B$2:$B$197,O$3)</x:f>
        <x:v>1072.4836590769232</x:v>
      </x:c>
    </x:row>
    <x:row r="7">
      <x:c r="A7" s="23" t="str">
        <x:v>CH</x:v>
      </x:c>
      <x:c r="B7" s="36" t="n">
        <x:f>SUMIFS(Source_Bilateral!$AG$2:$AG$197,Source_Bilateral!$A$2:$A$197,$A7,Source_Bilateral!$B$2:$B$197,B$3)</x:f>
        <x:v>1772.2168545384616</x:v>
      </x:c>
      <x:c r="C7" s="36" t="n">
        <x:f>SUMIFS(Source_Bilateral!$AG$2:$AG$197,Source_Bilateral!$A$2:$A$197,$A7,Source_Bilateral!$B$2:$B$197,C$3)</x:f>
        <x:v>2202.8126409230767</x:v>
      </x:c>
      <x:c r="D7" s="36" t="n">
        <x:f>SUMIFS(Source_Bilateral!$AG$2:$AG$197,Source_Bilateral!$A$2:$A$197,$A7,Source_Bilateral!$B$2:$B$197,D$3)</x:f>
        <x:v>2683.874409307692</x:v>
      </x:c>
      <x:c r="E7" s="36" t="n">
        <x:f>0</x:f>
        <x:v>0</x:v>
      </x:c>
      <x:c r="F7" s="36" t="n">
        <x:f>SUMIFS(Source_Bilateral!$AG$2:$AG$197,Source_Bilateral!$A$2:$A$197,$A7,Source_Bilateral!$B$2:$B$197,F$3)</x:f>
        <x:v>8261.33710323077</x:v>
      </x:c>
      <x:c r="G7" s="36" t="n">
        <x:f>SUMIFS(Source_Bilateral!$AG$2:$AG$197,Source_Bilateral!$A$2:$A$197,$A7,Source_Bilateral!$B$2:$B$197,G$3)</x:f>
        <x:v>178581.98500607692</x:v>
      </x:c>
      <x:c r="H7" s="36" t="n">
        <x:f>SUMIFS(Source_Bilateral!$AG$2:$AG$197,Source_Bilateral!$A$2:$A$197,$A7,Source_Bilateral!$B$2:$B$197,H$3)</x:f>
        <x:v>15570.412147076924</x:v>
      </x:c>
      <x:c r="I7" s="36" t="n">
        <x:f>SUMIFS(Source_Bilateral!$AG$2:$AG$197,Source_Bilateral!$A$2:$A$197,$A7,Source_Bilateral!$B$2:$B$197,I$3)</x:f>
        <x:v>8295.450425923076</x:v>
      </x:c>
      <x:c r="J7" s="36" t="n">
        <x:f>SUMIFS(Source_Bilateral!$AG$2:$AG$197,Source_Bilateral!$A$2:$A$197,$A7,Source_Bilateral!$B$2:$B$197,J$3)</x:f>
        <x:v>1983.9984653076926</x:v>
      </x:c>
      <x:c r="K7" s="36" t="n">
        <x:f>SUMIFS(Source_Bilateral!$AG$2:$AG$197,Source_Bilateral!$A$2:$A$197,$A7,Source_Bilateral!$B$2:$B$197,K$3)</x:f>
        <x:v>894.3016170000001</x:v>
      </x:c>
      <x:c r="L7" s="36" t="n">
        <x:f>SUMIFS(Source_Bilateral!$AG$2:$AG$197,Source_Bilateral!$A$2:$A$197,$A7,Source_Bilateral!$B$2:$B$197,L$3)</x:f>
        <x:v>2615.0818323076924</x:v>
      </x:c>
      <x:c r="M7" s="36" t="n">
        <x:f>SUMIFS(Source_Bilateral!$AG$2:$AG$197,Source_Bilateral!$A$2:$A$197,$A7,Source_Bilateral!$B$2:$B$197,M$3)</x:f>
        <x:v>2514.5176446153846</x:v>
      </x:c>
      <x:c r="N7" s="36" t="n">
        <x:f>SUMIFS(Source_Bilateral!$AG$2:$AG$197,Source_Bilateral!$A$2:$A$197,$A7,Source_Bilateral!$B$2:$B$197,N$3)</x:f>
        <x:v>25344.261664461537</x:v>
      </x:c>
      <x:c r="O7" s="36" t="n">
        <x:f>SUMIFS(Source_Bilateral!$AG$2:$AG$197,Source_Bilateral!$A$2:$A$197,$A7,Source_Bilateral!$B$2:$B$197,O$3)</x:f>
        <x:v>1472.0378414615386</x:v>
      </x:c>
    </x:row>
    <x:row r="8">
      <x:c r="A8" s="23" t="str">
        <x:v>CN</x:v>
      </x:c>
      <x:c r="B8" s="36" t="n">
        <x:f>SUMIFS(Source_Bilateral!$AG$2:$AG$197,Source_Bilateral!$A$2:$A$197,$A8,Source_Bilateral!$B$2:$B$197,B$3)</x:f>
        <x:v>46330.52489823077</x:v>
      </x:c>
      <x:c r="C8" s="36" t="n">
        <x:f>SUMIFS(Source_Bilateral!$AG$2:$AG$197,Source_Bilateral!$A$2:$A$197,$A8,Source_Bilateral!$B$2:$B$197,C$3)</x:f>
        <x:v>32269.214392846152</x:v>
      </x:c>
      <x:c r="D8" s="36" t="n">
        <x:f>SUMIFS(Source_Bilateral!$AG$2:$AG$197,Source_Bilateral!$A$2:$A$197,$A8,Source_Bilateral!$B$2:$B$197,D$3)</x:f>
        <x:v>24561.49996446154</x:v>
      </x:c>
      <x:c r="E8" s="36" t="n">
        <x:f>SUMIFS(Source_Bilateral!$AG$2:$AG$197,Source_Bilateral!$A$2:$A$197,$A8,Source_Bilateral!$B$2:$B$197,E$3)</x:f>
        <x:v>9836.417831153847</x:v>
      </x:c>
      <x:c r="F8" s="36" t="n">
        <x:f>0</x:f>
        <x:v>0</x:v>
      </x:c>
      <x:c r="G8" s="36" t="n">
        <x:f>SUMIFS(Source_Bilateral!$AG$2:$AG$197,Source_Bilateral!$A$2:$A$197,$A8,Source_Bilateral!$B$2:$B$197,G$3)</x:f>
        <x:v>229817.51244407694</x:v>
      </x:c>
      <x:c r="H8" s="36" t="n">
        <x:f>SUMIFS(Source_Bilateral!$AG$2:$AG$197,Source_Bilateral!$A$2:$A$197,$A8,Source_Bilateral!$B$2:$B$197,H$3)</x:f>
        <x:v>32073.692656230767</x:v>
      </x:c>
      <x:c r="I8" s="36" t="n">
        <x:f>SUMIFS(Source_Bilateral!$AG$2:$AG$197,Source_Bilateral!$A$2:$A$197,$A8,Source_Bilateral!$B$2:$B$197,I$3)</x:f>
        <x:v>205077.29304538463</x:v>
      </x:c>
      <x:c r="J8" s="36" t="n">
        <x:f>SUMIFS(Source_Bilateral!$AG$2:$AG$197,Source_Bilateral!$A$2:$A$197,$A8,Source_Bilateral!$B$2:$B$197,J$3)</x:f>
        <x:v>132476.4203706154</x:v>
      </x:c>
      <x:c r="K8" s="36" t="n">
        <x:f>SUMIFS(Source_Bilateral!$AG$2:$AG$197,Source_Bilateral!$A$2:$A$197,$A8,Source_Bilateral!$B$2:$B$197,K$3)</x:f>
        <x:v>3595.166799769231</x:v>
      </x:c>
      <x:c r="L8" s="36" t="n">
        <x:f>SUMIFS(Source_Bilateral!$AG$2:$AG$197,Source_Bilateral!$A$2:$A$197,$A8,Source_Bilateral!$B$2:$B$197,L$3)</x:f>
        <x:v>37854.53740623077</x:v>
      </x:c>
      <x:c r="M8" s="36" t="n">
        <x:f>SUMIFS(Source_Bilateral!$AG$2:$AG$197,Source_Bilateral!$A$2:$A$197,$A8,Source_Bilateral!$B$2:$B$197,M$3)</x:f>
        <x:v>8449.879450615384</x:v>
      </x:c>
      <x:c r="N8" s="36" t="n">
        <x:f>SUMIFS(Source_Bilateral!$AG$2:$AG$197,Source_Bilateral!$A$2:$A$197,$A8,Source_Bilateral!$B$2:$B$197,N$3)</x:f>
        <x:v>251717.14992192312</x:v>
      </x:c>
      <x:c r="O8" s="36" t="n">
        <x:f>SUMIFS(Source_Bilateral!$AG$2:$AG$197,Source_Bilateral!$A$2:$A$197,$A8,Source_Bilateral!$B$2:$B$197,O$3)</x:f>
        <x:v>16097.36155146154</x:v>
      </x:c>
    </x:row>
    <x:row r="9">
      <x:c r="A9" s="23" t="str">
        <x:v>EA</x:v>
      </x:c>
      <x:c r="B9" s="36" t="n">
        <x:f>SUMIFS(Source_Bilateral!$AG$2:$AG$197,Source_Bilateral!$A$2:$A$197,$A9,Source_Bilateral!$B$2:$B$197,B$3)</x:f>
        <x:v>28474.891262384615</x:v>
      </x:c>
      <x:c r="C9" s="36" t="n">
        <x:f>SUMIFS(Source_Bilateral!$AG$2:$AG$197,Source_Bilateral!$A$2:$A$197,$A9,Source_Bilateral!$B$2:$B$197,C$3)</x:f>
        <x:v>52085.42686292308</x:v>
      </x:c>
      <x:c r="D9" s="36" t="n">
        <x:f>SUMIFS(Source_Bilateral!$AG$2:$AG$197,Source_Bilateral!$A$2:$A$197,$A9,Source_Bilateral!$B$2:$B$197,D$3)</x:f>
        <x:v>36327.734277076925</x:v>
      </x:c>
      <x:c r="E9" s="36" t="n">
        <x:f>SUMIFS(Source_Bilateral!$AG$2:$AG$197,Source_Bilateral!$A$2:$A$197,$A9,Source_Bilateral!$B$2:$B$197,E$3)</x:f>
        <x:v>181059.07548300002</x:v>
      </x:c>
      <x:c r="F9" s="36" t="n">
        <x:f>SUMIFS(Source_Bilateral!$AG$2:$AG$197,Source_Bilateral!$A$2:$A$197,$A9,Source_Bilateral!$B$2:$B$197,F$3)</x:f>
        <x:v>252029.22757930768</x:v>
      </x:c>
      <x:c r="G9" s="36" t="n">
        <x:f>0</x:f>
        <x:v>0</x:v>
      </x:c>
      <x:c r="H9" s="36" t="n">
        <x:f>SUMIFS(Source_Bilateral!$AG$2:$AG$197,Source_Bilateral!$A$2:$A$197,$A9,Source_Bilateral!$B$2:$B$197,H$3)</x:f>
        <x:v>445376.1720894616</x:v>
      </x:c>
      <x:c r="I9" s="36" t="n">
        <x:f>SUMIFS(Source_Bilateral!$AG$2:$AG$197,Source_Bilateral!$A$2:$A$197,$A9,Source_Bilateral!$B$2:$B$197,I$3)</x:f>
        <x:v>109183.32913323076</x:v>
      </x:c>
      <x:c r="J9" s="36" t="n">
        <x:f>SUMIFS(Source_Bilateral!$AG$2:$AG$197,Source_Bilateral!$A$2:$A$197,$A9,Source_Bilateral!$B$2:$B$197,J$3)</x:f>
        <x:v>53594.98393046154</x:v>
      </x:c>
      <x:c r="K9" s="36" t="n">
        <x:f>SUMIFS(Source_Bilateral!$AG$2:$AG$197,Source_Bilateral!$A$2:$A$197,$A9,Source_Bilateral!$B$2:$B$197,K$3)</x:f>
        <x:v>70995.9167593846</x:v>
      </x:c>
      <x:c r="L9" s="36" t="n">
        <x:f>SUMIFS(Source_Bilateral!$AG$2:$AG$197,Source_Bilateral!$A$2:$A$197,$A9,Source_Bilateral!$B$2:$B$197,L$3)</x:f>
        <x:v>32904.815813076915</x:v>
      </x:c>
      <x:c r="M9" s="36" t="n">
        <x:f>SUMIFS(Source_Bilateral!$AG$2:$AG$197,Source_Bilateral!$A$2:$A$197,$A9,Source_Bilateral!$B$2:$B$197,M$3)</x:f>
        <x:v>80369.28010792308</x:v>
      </x:c>
      <x:c r="N9" s="36" t="n">
        <x:f>SUMIFS(Source_Bilateral!$AG$2:$AG$197,Source_Bilateral!$A$2:$A$197,$A9,Source_Bilateral!$B$2:$B$197,N$3)</x:f>
        <x:v>385533.43720246153</x:v>
      </x:c>
      <x:c r="O9" s="36" t="n">
        <x:f>SUMIFS(Source_Bilateral!$AG$2:$AG$197,Source_Bilateral!$A$2:$A$197,$A9,Source_Bilateral!$B$2:$B$197,O$3)</x:f>
        <x:v>31287.04137446154</x:v>
      </x:c>
    </x:row>
    <x:row r="10">
      <x:c r="A10" s="23" t="str">
        <x:v>UK</x:v>
      </x:c>
      <x:c r="B10" s="36" t="n">
        <x:f>SUMIFS(Source_Bilateral!$AG$2:$AG$197,Source_Bilateral!$A$2:$A$197,$A10,Source_Bilateral!$B$2:$B$197,B$3)</x:f>
        <x:v>10143.93902023077</x:v>
      </x:c>
      <x:c r="C10" s="36" t="n">
        <x:f>SUMIFS(Source_Bilateral!$AG$2:$AG$197,Source_Bilateral!$A$2:$A$197,$A10,Source_Bilateral!$B$2:$B$197,C$3)</x:f>
        <x:v>5722.565084230769</x:v>
      </x:c>
      <x:c r="D10" s="36" t="n">
        <x:f>SUMIFS(Source_Bilateral!$AG$2:$AG$197,Source_Bilateral!$A$2:$A$197,$A10,Source_Bilateral!$B$2:$B$197,D$3)</x:f>
        <x:v>16273.782572153845</x:v>
      </x:c>
      <x:c r="E10" s="36" t="n">
        <x:f>SUMIFS(Source_Bilateral!$AG$2:$AG$197,Source_Bilateral!$A$2:$A$197,$A10,Source_Bilateral!$B$2:$B$197,E$3)</x:f>
        <x:v>20565.41308284615</x:v>
      </x:c>
      <x:c r="F10" s="36" t="n">
        <x:f>SUMIFS(Source_Bilateral!$AG$2:$AG$197,Source_Bilateral!$A$2:$A$197,$A10,Source_Bilateral!$B$2:$B$197,F$3)</x:f>
        <x:v>39213.45909623077</x:v>
      </x:c>
      <x:c r="G10" s="36" t="n">
        <x:f>SUMIFS(Source_Bilateral!$AG$2:$AG$197,Source_Bilateral!$A$2:$A$197,$A10,Source_Bilateral!$B$2:$B$197,G$3)</x:f>
        <x:v>415718.62491899997</x:v>
      </x:c>
      <x:c r="H10" s="36" t="n">
        <x:f>0</x:f>
        <x:v>0</x:v>
      </x:c>
      <x:c r="I10" s="36" t="n">
        <x:f>SUMIFS(Source_Bilateral!$AG$2:$AG$197,Source_Bilateral!$A$2:$A$197,$A10,Source_Bilateral!$B$2:$B$197,I$3)</x:f>
        <x:v>20788.30484784615</x:v>
      </x:c>
      <x:c r="J10" s="36" t="n">
        <x:f>SUMIFS(Source_Bilateral!$AG$2:$AG$197,Source_Bilateral!$A$2:$A$197,$A10,Source_Bilateral!$B$2:$B$197,J$3)</x:f>
        <x:v>8020.172698846156</x:v>
      </x:c>
      <x:c r="K10" s="36" t="n">
        <x:f>SUMIFS(Source_Bilateral!$AG$2:$AG$197,Source_Bilateral!$A$2:$A$197,$A10,Source_Bilateral!$B$2:$B$197,K$3)</x:f>
        <x:v>26977.218405230764</x:v>
      </x:c>
      <x:c r="L10" s="36" t="n">
        <x:f>SUMIFS(Source_Bilateral!$AG$2:$AG$197,Source_Bilateral!$A$2:$A$197,$A10,Source_Bilateral!$B$2:$B$197,L$3)</x:f>
        <x:v>8985.549644</x:v>
      </x:c>
      <x:c r="M10" s="36" t="n">
        <x:f>SUMIFS(Source_Bilateral!$AG$2:$AG$197,Source_Bilateral!$A$2:$A$197,$A10,Source_Bilateral!$B$2:$B$197,M$3)</x:f>
        <x:v>10123.72023776923</x:v>
      </x:c>
      <x:c r="N10" s="36" t="n">
        <x:f>SUMIFS(Source_Bilateral!$AG$2:$AG$197,Source_Bilateral!$A$2:$A$197,$A10,Source_Bilateral!$B$2:$B$197,N$3)</x:f>
        <x:v>96640.84077684613</x:v>
      </x:c>
      <x:c r="O10" s="36" t="n">
        <x:f>SUMIFS(Source_Bilateral!$AG$2:$AG$197,Source_Bilateral!$A$2:$A$197,$A10,Source_Bilateral!$B$2:$B$197,O$3)</x:f>
        <x:v>11429.090435615384</x:v>
      </x:c>
    </x:row>
    <x:row r="11">
      <x:c r="A11" s="23" t="str">
        <x:v>JP</x:v>
      </x:c>
      <x:c r="B11" s="36" t="n">
        <x:f>SUMIFS(Source_Bilateral!$AG$2:$AG$197,Source_Bilateral!$A$2:$A$197,$A11,Source_Bilateral!$B$2:$B$197,B$3)</x:f>
        <x:v>43767.87561723077</x:v>
      </x:c>
      <x:c r="C11" s="36" t="n">
        <x:f>SUMIFS(Source_Bilateral!$AG$2:$AG$197,Source_Bilateral!$A$2:$A$197,$A11,Source_Bilateral!$B$2:$B$197,C$3)</x:f>
        <x:v>9965.265855461537</x:v>
      </x:c>
      <x:c r="D11" s="36" t="n">
        <x:f>SUMIFS(Source_Bilateral!$AG$2:$AG$197,Source_Bilateral!$A$2:$A$197,$A11,Source_Bilateral!$B$2:$B$197,D$3)</x:f>
        <x:v>18403.02915823077</x:v>
      </x:c>
      <x:c r="E11" s="36" t="n">
        <x:f>SUMIFS(Source_Bilateral!$AG$2:$AG$197,Source_Bilateral!$A$2:$A$197,$A11,Source_Bilateral!$B$2:$B$197,E$3)</x:f>
        <x:v>9146.313402615386</x:v>
      </x:c>
      <x:c r="F11" s="36" t="n">
        <x:f>SUMIFS(Source_Bilateral!$AG$2:$AG$197,Source_Bilateral!$A$2:$A$197,$A11,Source_Bilateral!$B$2:$B$197,F$3)</x:f>
        <x:v>207403.3628571538</x:v>
      </x:c>
      <x:c r="G11" s="36" t="n">
        <x:f>SUMIFS(Source_Bilateral!$AG$2:$AG$197,Source_Bilateral!$A$2:$A$197,$A11,Source_Bilateral!$B$2:$B$197,G$3)</x:f>
        <x:v>112345.67835992307</x:v>
      </x:c>
      <x:c r="H11" s="36" t="n">
        <x:f>SUMIFS(Source_Bilateral!$AG$2:$AG$197,Source_Bilateral!$A$2:$A$197,$A11,Source_Bilateral!$B$2:$B$197,H$3)</x:f>
        <x:v>20902.208053769227</x:v>
      </x:c>
      <x:c r="I11" s="36" t="n">
        <x:f>0</x:f>
        <x:v>0</x:v>
      </x:c>
      <x:c r="J11" s="36" t="n">
        <x:f>SUMIFS(Source_Bilateral!$AG$2:$AG$197,Source_Bilateral!$A$2:$A$197,$A11,Source_Bilateral!$B$2:$B$197,J$3)</x:f>
        <x:v>72620.78121815385</x:v>
      </x:c>
      <x:c r="K11" s="36" t="n">
        <x:f>SUMIFS(Source_Bilateral!$AG$2:$AG$197,Source_Bilateral!$A$2:$A$197,$A11,Source_Bilateral!$B$2:$B$197,K$3)</x:f>
        <x:v>2644.8814694615385</x:v>
      </x:c>
      <x:c r="L11" s="36" t="n">
        <x:f>SUMIFS(Source_Bilateral!$AG$2:$AG$197,Source_Bilateral!$A$2:$A$197,$A11,Source_Bilateral!$B$2:$B$197,L$3)</x:f>
        <x:v>27294.86428946154</x:v>
      </x:c>
      <x:c r="M11" s="36" t="n">
        <x:f>SUMIFS(Source_Bilateral!$AG$2:$AG$197,Source_Bilateral!$A$2:$A$197,$A11,Source_Bilateral!$B$2:$B$197,M$3)</x:f>
        <x:v>2338.7951096923075</x:v>
      </x:c>
      <x:c r="N11" s="36" t="n">
        <x:f>SUMIFS(Source_Bilateral!$AG$2:$AG$197,Source_Bilateral!$A$2:$A$197,$A11,Source_Bilateral!$B$2:$B$197,N$3)</x:f>
        <x:v>198041.0302006923</x:v>
      </x:c>
      <x:c r="O11" s="36" t="n">
        <x:f>SUMIFS(Source_Bilateral!$AG$2:$AG$197,Source_Bilateral!$A$2:$A$197,$A11,Source_Bilateral!$B$2:$B$197,O$3)</x:f>
        <x:v>8793.516201461538</x:v>
      </x:c>
    </x:row>
    <x:row r="12">
      <x:c r="A12" s="23" t="str">
        <x:v>KR</x:v>
      </x:c>
      <x:c r="B12" s="36" t="n">
        <x:f>SUMIFS(Source_Bilateral!$AG$2:$AG$197,Source_Bilateral!$A$2:$A$197,$A12,Source_Bilateral!$B$2:$B$197,B$3)</x:f>
        <x:v>17629.191588153844</x:v>
      </x:c>
      <x:c r="C12" s="36" t="n">
        <x:f>SUMIFS(Source_Bilateral!$AG$2:$AG$197,Source_Bilateral!$A$2:$A$197,$A12,Source_Bilateral!$B$2:$B$197,C$3)</x:f>
        <x:v>7534.794773153846</x:v>
      </x:c>
      <x:c r="D12" s="36" t="n">
        <x:f>SUMIFS(Source_Bilateral!$AG$2:$AG$197,Source_Bilateral!$A$2:$A$197,$A12,Source_Bilateral!$B$2:$B$197,D$3)</x:f>
        <x:v>6747.507631076923</x:v>
      </x:c>
      <x:c r="E12" s="36" t="n">
        <x:f>SUMIFS(Source_Bilateral!$AG$2:$AG$197,Source_Bilateral!$A$2:$A$197,$A12,Source_Bilateral!$B$2:$B$197,E$3)</x:f>
        <x:v>2126.9038572307695</x:v>
      </x:c>
      <x:c r="F12" s="36" t="n">
        <x:f>SUMIFS(Source_Bilateral!$AG$2:$AG$197,Source_Bilateral!$A$2:$A$197,$A12,Source_Bilateral!$B$2:$B$197,F$3)</x:f>
        <x:v>118252.01622215385</x:v>
      </x:c>
      <x:c r="G12" s="36" t="n">
        <x:f>SUMIFS(Source_Bilateral!$AG$2:$AG$197,Source_Bilateral!$A$2:$A$197,$A12,Source_Bilateral!$B$2:$B$197,G$3)</x:f>
        <x:v>56132.464796</x:v>
      </x:c>
      <x:c r="H12" s="36" t="n">
        <x:f>SUMIFS(Source_Bilateral!$AG$2:$AG$197,Source_Bilateral!$A$2:$A$197,$A12,Source_Bilateral!$B$2:$B$197,H$3)</x:f>
        <x:v>8447.830676615386</x:v>
      </x:c>
      <x:c r="I12" s="36" t="n">
        <x:f>SUMIFS(Source_Bilateral!$AG$2:$AG$197,Source_Bilateral!$A$2:$A$197,$A12,Source_Bilateral!$B$2:$B$197,I$3)</x:f>
        <x:v>73802.46048353845</x:v>
      </x:c>
      <x:c r="J12" s="36" t="n">
        <x:f>0</x:f>
        <x:v>0</x:v>
      </x:c>
      <x:c r="K12" s="36" t="n">
        <x:f>SUMIFS(Source_Bilateral!$AG$2:$AG$197,Source_Bilateral!$A$2:$A$197,$A12,Source_Bilateral!$B$2:$B$197,K$3)</x:f>
        <x:v>2649.2711668461534</x:v>
      </x:c>
      <x:c r="L12" s="36" t="n">
        <x:f>SUMIFS(Source_Bilateral!$AG$2:$AG$197,Source_Bilateral!$A$2:$A$197,$A12,Source_Bilateral!$B$2:$B$197,L$3)</x:f>
        <x:v>17037.30086438462</x:v>
      </x:c>
      <x:c r="M12" s="36" t="n">
        <x:f>SUMIFS(Source_Bilateral!$AG$2:$AG$197,Source_Bilateral!$A$2:$A$197,$A12,Source_Bilateral!$B$2:$B$197,M$3)</x:f>
        <x:v>3085.416819153846</x:v>
      </x:c>
      <x:c r="N12" s="36" t="n">
        <x:f>SUMIFS(Source_Bilateral!$AG$2:$AG$197,Source_Bilateral!$A$2:$A$197,$A12,Source_Bilateral!$B$2:$B$197,N$3)</x:f>
        <x:v>75935.46985707694</x:v>
      </x:c>
      <x:c r="O12" s="36" t="n">
        <x:f>SUMIFS(Source_Bilateral!$AG$2:$AG$197,Source_Bilateral!$A$2:$A$197,$A12,Source_Bilateral!$B$2:$B$197,O$3)</x:f>
        <x:v>2719.7739181538464</x:v>
      </x:c>
    </x:row>
    <x:row r="13">
      <x:c r="A13" s="23" t="str">
        <x:v>NO</x:v>
      </x:c>
      <x:c r="B13" s="36" t="n">
        <x:f>SUMIFS(Source_Bilateral!$AG$2:$AG$197,Source_Bilateral!$A$2:$A$197,$A13,Source_Bilateral!$B$2:$B$197,B$3)</x:f>
        <x:v>310.25054130769234</x:v>
      </x:c>
      <x:c r="C13" s="36" t="n">
        <x:f>SUMIFS(Source_Bilateral!$AG$2:$AG$197,Source_Bilateral!$A$2:$A$197,$A13,Source_Bilateral!$B$2:$B$197,C$3)</x:f>
        <x:v>1187.606771923077</x:v>
      </x:c>
      <x:c r="D13" s="36" t="n">
        <x:f>SUMIFS(Source_Bilateral!$AG$2:$AG$197,Source_Bilateral!$A$2:$A$197,$A13,Source_Bilateral!$B$2:$B$197,D$3)</x:f>
        <x:v>4723.835361461539</x:v>
      </x:c>
      <x:c r="E13" s="36" t="n">
        <x:f>SUMIFS(Source_Bilateral!$AG$2:$AG$197,Source_Bilateral!$A$2:$A$197,$A13,Source_Bilateral!$B$2:$B$197,E$3)</x:f>
        <x:v>1249.6538076923075</x:v>
      </x:c>
      <x:c r="F13" s="36" t="n">
        <x:f>SUMIFS(Source_Bilateral!$AG$2:$AG$197,Source_Bilateral!$A$2:$A$197,$A13,Source_Bilateral!$B$2:$B$197,F$3)</x:f>
        <x:v>5592.7390690769225</x:v>
      </x:c>
      <x:c r="G13" s="36" t="n">
        <x:f>SUMIFS(Source_Bilateral!$AG$2:$AG$197,Source_Bilateral!$A$2:$A$197,$A13,Source_Bilateral!$B$2:$B$197,G$3)</x:f>
        <x:v>69169.75395723077</x:v>
      </x:c>
      <x:c r="H13" s="36" t="n">
        <x:f>SUMIFS(Source_Bilateral!$AG$2:$AG$197,Source_Bilateral!$A$2:$A$197,$A13,Source_Bilateral!$B$2:$B$197,H$3)</x:f>
        <x:v>31701.351790461536</x:v>
      </x:c>
      <x:c r="I13" s="36" t="n">
        <x:f>SUMIFS(Source_Bilateral!$AG$2:$AG$197,Source_Bilateral!$A$2:$A$197,$A13,Source_Bilateral!$B$2:$B$197,I$3)</x:f>
        <x:v>2846.660902692308</x:v>
      </x:c>
      <x:c r="J13" s="36" t="n">
        <x:f>SUMIFS(Source_Bilateral!$AG$2:$AG$197,Source_Bilateral!$A$2:$A$197,$A13,Source_Bilateral!$B$2:$B$197,J$3)</x:f>
        <x:v>2291.627777384615</x:v>
      </x:c>
      <x:c r="K13" s="36" t="n">
        <x:f>0</x:f>
        <x:v>0</x:v>
      </x:c>
      <x:c r="L13" s="36" t="n">
        <x:f>SUMIFS(Source_Bilateral!$AG$2:$AG$197,Source_Bilateral!$A$2:$A$197,$A13,Source_Bilateral!$B$2:$B$197,L$3)</x:f>
        <x:v>1003.5856122307694</x:v>
      </x:c>
      <x:c r="M13" s="36" t="n">
        <x:f>SUMIFS(Source_Bilateral!$AG$2:$AG$197,Source_Bilateral!$A$2:$A$197,$A13,Source_Bilateral!$B$2:$B$197,M$3)</x:f>
        <x:v>906.5429444615385</x:v>
      </x:c>
      <x:c r="N13" s="36" t="n">
        <x:f>SUMIFS(Source_Bilateral!$AG$2:$AG$197,Source_Bilateral!$A$2:$A$197,$A13,Source_Bilateral!$B$2:$B$197,N$3)</x:f>
        <x:v>10017.032290769232</x:v>
      </x:c>
      <x:c r="O13" s="36" t="n">
        <x:f>SUMIFS(Source_Bilateral!$AG$2:$AG$197,Source_Bilateral!$A$2:$A$197,$A13,Source_Bilateral!$B$2:$B$197,O$3)</x:f>
        <x:v>312.37403453846156</x:v>
      </x:c>
    </x:row>
    <x:row r="14">
      <x:c r="A14" s="23" t="str">
        <x:v>SG</x:v>
      </x:c>
      <x:c r="B14" s="36" t="n">
        <x:f>SUMIFS(Source_Bilateral!$AG$2:$AG$197,Source_Bilateral!$A$2:$A$197,$A14,Source_Bilateral!$B$2:$B$197,B$3)</x:f>
        <x:v>12538.044521384618</x:v>
      </x:c>
      <x:c r="C14" s="36" t="n">
        <x:f>SUMIFS(Source_Bilateral!$AG$2:$AG$197,Source_Bilateral!$A$2:$A$197,$A14,Source_Bilateral!$B$2:$B$197,C$3)</x:f>
        <x:v>1831.970501076923</x:v>
      </x:c>
      <x:c r="D14" s="36" t="n">
        <x:f>SUMIFS(Source_Bilateral!$AG$2:$AG$197,Source_Bilateral!$A$2:$A$197,$A14,Source_Bilateral!$B$2:$B$197,D$3)</x:f>
        <x:v>1930.8894639230766</x:v>
      </x:c>
      <x:c r="E14" s="36" t="n">
        <x:f>SUMIFS(Source_Bilateral!$AG$2:$AG$197,Source_Bilateral!$A$2:$A$197,$A14,Source_Bilateral!$B$2:$B$197,E$3)</x:f>
        <x:v>3515.5949953076924</x:v>
      </x:c>
      <x:c r="F14" s="36" t="n">
        <x:f>SUMIFS(Source_Bilateral!$AG$2:$AG$197,Source_Bilateral!$A$2:$A$197,$A14,Source_Bilateral!$B$2:$B$197,F$3)</x:f>
        <x:v>46136.54475</x:v>
      </x:c>
      <x:c r="G14" s="36" t="n">
        <x:f>SUMIFS(Source_Bilateral!$AG$2:$AG$197,Source_Bilateral!$A$2:$A$197,$A14,Source_Bilateral!$B$2:$B$197,G$3)</x:f>
        <x:v>43274.22653261539</x:v>
      </x:c>
      <x:c r="H14" s="36" t="n">
        <x:f>SUMIFS(Source_Bilateral!$AG$2:$AG$197,Source_Bilateral!$A$2:$A$197,$A14,Source_Bilateral!$B$2:$B$197,H$3)</x:f>
        <x:v>9770.758113461538</x:v>
      </x:c>
      <x:c r="I14" s="36" t="n">
        <x:f>SUMIFS(Source_Bilateral!$AG$2:$AG$197,Source_Bilateral!$A$2:$A$197,$A14,Source_Bilateral!$B$2:$B$197,I$3)</x:f>
        <x:v>34038.23355407693</x:v>
      </x:c>
      <x:c r="J14" s="36" t="n">
        <x:f>SUMIFS(Source_Bilateral!$AG$2:$AG$197,Source_Bilateral!$A$2:$A$197,$A14,Source_Bilateral!$B$2:$B$197,J$3)</x:f>
        <x:v>21634.18334907692</x:v>
      </x:c>
      <x:c r="K14" s="36" t="n">
        <x:f>SUMIFS(Source_Bilateral!$AG$2:$AG$197,Source_Bilateral!$A$2:$A$197,$A14,Source_Bilateral!$B$2:$B$197,K$3)</x:f>
        <x:v>1095.2591795384615</x:v>
      </x:c>
      <x:c r="L14" s="36" t="n">
        <x:f>0</x:f>
        <x:v>0</x:v>
      </x:c>
      <x:c r="M14" s="36" t="n">
        <x:f>SUMIFS(Source_Bilateral!$AG$2:$AG$197,Source_Bilateral!$A$2:$A$197,$A14,Source_Bilateral!$B$2:$B$197,M$3)</x:f>
        <x:v>680.365779923077</x:v>
      </x:c>
      <x:c r="N14" s="36" t="n">
        <x:f>SUMIFS(Source_Bilateral!$AG$2:$AG$197,Source_Bilateral!$A$2:$A$197,$A14,Source_Bilateral!$B$2:$B$197,N$3)</x:f>
        <x:v>50485.271520307695</x:v>
      </x:c>
      <x:c r="O14" s="36" t="n">
        <x:f>SUMIFS(Source_Bilateral!$AG$2:$AG$197,Source_Bilateral!$A$2:$A$197,$A14,Source_Bilateral!$B$2:$B$197,O$3)</x:f>
        <x:v>1197.1358905384618</x:v>
      </x:c>
    </x:row>
    <x:row r="15">
      <x:c r="A15" s="23" t="str">
        <x:v>TR</x:v>
      </x:c>
      <x:c r="B15" s="36" t="n">
        <x:f>SUMIFS(Source_Bilateral!$AG$2:$AG$197,Source_Bilateral!$A$2:$A$197,$A15,Source_Bilateral!$B$2:$B$197,B$3)</x:f>
        <x:v>718.922556076923</x:v>
      </x:c>
      <x:c r="C15" s="36" t="n">
        <x:f>SUMIFS(Source_Bilateral!$AG$2:$AG$197,Source_Bilateral!$A$2:$A$197,$A15,Source_Bilateral!$B$2:$B$197,C$3)</x:f>
        <x:v>1254.3083519999998</x:v>
      </x:c>
      <x:c r="D15" s="36" t="n">
        <x:f>SUMIFS(Source_Bilateral!$AG$2:$AG$197,Source_Bilateral!$A$2:$A$197,$A15,Source_Bilateral!$B$2:$B$197,D$3)</x:f>
        <x:v>1105.0506191538461</x:v>
      </x:c>
      <x:c r="E15" s="36" t="n">
        <x:f>SUMIFS(Source_Bilateral!$AG$2:$AG$197,Source_Bilateral!$A$2:$A$197,$A15,Source_Bilateral!$B$2:$B$197,E$3)</x:f>
        <x:v>4652.785763307693</x:v>
      </x:c>
      <x:c r="F15" s="36" t="n">
        <x:f>SUMIFS(Source_Bilateral!$AG$2:$AG$197,Source_Bilateral!$A$2:$A$197,$A15,Source_Bilateral!$B$2:$B$197,F$3)</x:f>
        <x:v>11024.051808615384</x:v>
      </x:c>
      <x:c r="G15" s="36" t="n">
        <x:f>SUMIFS(Source_Bilateral!$AG$2:$AG$197,Source_Bilateral!$A$2:$A$197,$A15,Source_Bilateral!$B$2:$B$197,G$3)</x:f>
        <x:v>72790.67620776924</x:v>
      </x:c>
      <x:c r="H15" s="36" t="n">
        <x:f>SUMIFS(Source_Bilateral!$AG$2:$AG$197,Source_Bilateral!$A$2:$A$197,$A15,Source_Bilateral!$B$2:$B$197,H$3)</x:f>
        <x:v>10086.065421153846</x:v>
      </x:c>
      <x:c r="I15" s="36" t="n">
        <x:f>SUMIFS(Source_Bilateral!$AG$2:$AG$197,Source_Bilateral!$A$2:$A$197,$A15,Source_Bilateral!$B$2:$B$197,I$3)</x:f>
        <x:v>3073.747438615384</x:v>
      </x:c>
      <x:c r="J15" s="36" t="n">
        <x:f>SUMIFS(Source_Bilateral!$AG$2:$AG$197,Source_Bilateral!$A$2:$A$197,$A15,Source_Bilateral!$B$2:$B$197,J$3)</x:f>
        <x:v>3439.7646811538466</x:v>
      </x:c>
      <x:c r="K15" s="36" t="n">
        <x:f>SUMIFS(Source_Bilateral!$AG$2:$AG$197,Source_Bilateral!$A$2:$A$197,$A15,Source_Bilateral!$B$2:$B$197,K$3)</x:f>
        <x:v>811.5509560769231</x:v>
      </x:c>
      <x:c r="L15" s="36" t="n">
        <x:f>SUMIFS(Source_Bilateral!$AG$2:$AG$197,Source_Bilateral!$A$2:$A$197,$A15,Source_Bilateral!$B$2:$B$197,L$3)</x:f>
        <x:v>541.4082500769231</x:v>
      </x:c>
      <x:c r="M15" s="36" t="n">
        <x:f>0</x:f>
        <x:v>0</x:v>
      </x:c>
      <x:c r="N15" s="36" t="n">
        <x:f>SUMIFS(Source_Bilateral!$AG$2:$AG$197,Source_Bilateral!$A$2:$A$197,$A15,Source_Bilateral!$B$2:$B$197,N$3)</x:f>
        <x:v>11977.846994384616</x:v>
      </x:c>
      <x:c r="O15" s="36" t="n">
        <x:f>SUMIFS(Source_Bilateral!$AG$2:$AG$197,Source_Bilateral!$A$2:$A$197,$A15,Source_Bilateral!$B$2:$B$197,O$3)</x:f>
        <x:v>1501.1848866923078</x:v>
      </x:c>
    </x:row>
    <x:row r="16">
      <x:c r="A16" s="23" t="str">
        <x:v>US</x:v>
      </x:c>
      <x:c r="B16" s="36" t="n">
        <x:f>SUMIFS(Source_Bilateral!$AG$2:$AG$197,Source_Bilateral!$A$2:$A$197,$A16,Source_Bilateral!$B$2:$B$197,B$3)</x:f>
        <x:v>26714.08680323077</x:v>
      </x:c>
      <x:c r="C16" s="36" t="n">
        <x:f>SUMIFS(Source_Bilateral!$AG$2:$AG$197,Source_Bilateral!$A$2:$A$197,$A16,Source_Bilateral!$B$2:$B$197,C$3)</x:f>
        <x:v>47728.601377307685</x:v>
      </x:c>
      <x:c r="D16" s="36" t="n">
        <x:f>SUMIFS(Source_Bilateral!$AG$2:$AG$197,Source_Bilateral!$A$2:$A$197,$A16,Source_Bilateral!$B$2:$B$197,D$3)</x:f>
        <x:v>491569.25621407694</x:v>
      </x:c>
      <x:c r="E16" s="36" t="n">
        <x:f>SUMIFS(Source_Bilateral!$AG$2:$AG$197,Source_Bilateral!$A$2:$A$197,$A16,Source_Bilateral!$B$2:$B$197,E$3)</x:f>
        <x:v>30809.556696692303</x:v>
      </x:c>
      <x:c r="F16" s="36" t="n">
        <x:f>SUMIFS(Source_Bilateral!$AG$2:$AG$197,Source_Bilateral!$A$2:$A$197,$A16,Source_Bilateral!$B$2:$B$197,F$3)</x:f>
        <x:v>325593.08112115384</x:v>
      </x:c>
      <x:c r="G16" s="36" t="n">
        <x:f>SUMIFS(Source_Bilateral!$AG$2:$AG$197,Source_Bilateral!$A$2:$A$197,$A16,Source_Bilateral!$B$2:$B$197,G$3)</x:f>
        <x:v>389101.8932133077</x:v>
      </x:c>
      <x:c r="H16" s="36" t="n">
        <x:f>SUMIFS(Source_Bilateral!$AG$2:$AG$197,Source_Bilateral!$A$2:$A$197,$A16,Source_Bilateral!$B$2:$B$197,H$3)</x:f>
        <x:v>94453.95422661537</x:v>
      </x:c>
      <x:c r="I16" s="36" t="n">
        <x:f>SUMIFS(Source_Bilateral!$AG$2:$AG$197,Source_Bilateral!$A$2:$A$197,$A16,Source_Bilateral!$B$2:$B$197,I$3)</x:f>
        <x:v>193431.03123515385</x:v>
      </x:c>
      <x:c r="J16" s="36" t="n">
        <x:f>SUMIFS(Source_Bilateral!$AG$2:$AG$197,Source_Bilateral!$A$2:$A$197,$A16,Source_Bilateral!$B$2:$B$197,J$3)</x:f>
        <x:v>77299.69901530768</x:v>
      </x:c>
      <x:c r="K16" s="36" t="n">
        <x:f>SUMIFS(Source_Bilateral!$AG$2:$AG$197,Source_Bilateral!$A$2:$A$197,$A16,Source_Bilateral!$B$2:$B$197,K$3)</x:f>
        <x:v>9151.477193846153</x:v>
      </x:c>
      <x:c r="L16" s="36" t="n">
        <x:f>SUMIFS(Source_Bilateral!$AG$2:$AG$197,Source_Bilateral!$A$2:$A$197,$A16,Source_Bilateral!$B$2:$B$197,L$3)</x:f>
        <x:v>40275.00316246154</x:v>
      </x:c>
      <x:c r="M16" s="36" t="n">
        <x:f>SUMIFS(Source_Bilateral!$AG$2:$AG$197,Source_Bilateral!$A$2:$A$197,$A16,Source_Bilateral!$B$2:$B$197,M$3)</x:f>
        <x:v>11440.793850846154</x:v>
      </x:c>
      <x:c r="N16" s="36" t="n">
        <x:f>0</x:f>
        <x:v>0</x:v>
      </x:c>
      <x:c r="O16" s="36" t="n">
        <x:f>SUMIFS(Source_Bilateral!$AG$2:$AG$197,Source_Bilateral!$A$2:$A$197,$A16,Source_Bilateral!$B$2:$B$197,O$3)</x:f>
        <x:v>11526.577558769231</x:v>
      </x:c>
    </x:row>
    <x:row r="17">
      <x:c r="A17" s="23" t="str">
        <x:v>ZA</x:v>
      </x:c>
      <x:c r="B17" s="36" t="n">
        <x:f>SUMIFS(Source_Bilateral!$AG$2:$AG$197,Source_Bilateral!$A$2:$A$197,$A17,Source_Bilateral!$B$2:$B$197,B$3)</x:f>
        <x:v>2153.2688097692308</x:v>
      </x:c>
      <x:c r="C17" s="36" t="n">
        <x:f>SUMIFS(Source_Bilateral!$AG$2:$AG$197,Source_Bilateral!$A$2:$A$197,$A17,Source_Bilateral!$B$2:$B$197,C$3)</x:f>
        <x:v>1660.4959427692306</x:v>
      </x:c>
      <x:c r="D17" s="36" t="n">
        <x:f>SUMIFS(Source_Bilateral!$AG$2:$AG$197,Source_Bilateral!$A$2:$A$197,$A17,Source_Bilateral!$B$2:$B$197,D$3)</x:f>
        <x:v>1176.0909763076922</x:v>
      </x:c>
      <x:c r="E17" s="36" t="n">
        <x:f>SUMIFS(Source_Bilateral!$AG$2:$AG$197,Source_Bilateral!$A$2:$A$197,$A17,Source_Bilateral!$B$2:$B$197,E$3)</x:f>
        <x:v>2193.275989384615</x:v>
      </x:c>
      <x:c r="F17" s="36" t="n">
        <x:f>SUMIFS(Source_Bilateral!$AG$2:$AG$197,Source_Bilateral!$A$2:$A$197,$A17,Source_Bilateral!$B$2:$B$197,F$3)</x:f>
        <x:v>11413.541454461538</x:v>
      </x:c>
      <x:c r="G17" s="36" t="n">
        <x:f>SUMIFS(Source_Bilateral!$AG$2:$AG$197,Source_Bilateral!$A$2:$A$197,$A17,Source_Bilateral!$B$2:$B$197,G$3)</x:f>
        <x:v>28535.806842923073</x:v>
      </x:c>
      <x:c r="H17" s="36" t="n">
        <x:f>SUMIFS(Source_Bilateral!$AG$2:$AG$197,Source_Bilateral!$A$2:$A$197,$A17,Source_Bilateral!$B$2:$B$197,H$3)</x:f>
        <x:v>6992.861733</x:v>
      </x:c>
      <x:c r="I17" s="36" t="n">
        <x:f>SUMIFS(Source_Bilateral!$AG$2:$AG$197,Source_Bilateral!$A$2:$A$197,$A17,Source_Bilateral!$B$2:$B$197,I$3)</x:f>
        <x:v>8523.829844615384</x:v>
      </x:c>
      <x:c r="J17" s="36" t="n">
        <x:f>SUMIFS(Source_Bilateral!$AG$2:$AG$197,Source_Bilateral!$A$2:$A$197,$A17,Source_Bilateral!$B$2:$B$197,J$3)</x:f>
        <x:v>2417.3496936153847</x:v>
      </x:c>
      <x:c r="K17" s="36" t="n">
        <x:f>SUMIFS(Source_Bilateral!$AG$2:$AG$197,Source_Bilateral!$A$2:$A$197,$A17,Source_Bilateral!$B$2:$B$197,K$3)</x:f>
        <x:v>224.50085038461538</x:v>
      </x:c>
      <x:c r="L17" s="36" t="n">
        <x:f>SUMIFS(Source_Bilateral!$AG$2:$AG$197,Source_Bilateral!$A$2:$A$197,$A17,Source_Bilateral!$B$2:$B$197,L$3)</x:f>
        <x:v>1040.5269507692308</x:v>
      </x:c>
      <x:c r="M17" s="36" t="n">
        <x:f>SUMIFS(Source_Bilateral!$AG$2:$AG$197,Source_Bilateral!$A$2:$A$197,$A17,Source_Bilateral!$B$2:$B$197,M$3)</x:f>
        <x:v>660.9840707692308</x:v>
      </x:c>
      <x:c r="N17" s="36" t="n">
        <x:f>SUMIFS(Source_Bilateral!$AG$2:$AG$197,Source_Bilateral!$A$2:$A$197,$A17,Source_Bilateral!$B$2:$B$197,N$3)</x:f>
        <x:v>10784.760806846156</x:v>
      </x:c>
      <x:c r="O17" s="36" t="n">
        <x:f>0</x:f>
        <x:v>0</x:v>
      </x:c>
    </x:row>
    <x:row r="18">
      <x:c r="A18" s="31" t="str">
        <x:v>Column Total</x:v>
      </x:c>
      <x:c r="B18" s="36" t="n">
        <x:f>SUM(B4:B17)</x:f>
        <x:v>194817.8997752308</x:v>
      </x:c>
      <x:c r="C18" s="36" t="n">
        <x:f>SUM(C4:C17)</x:f>
        <x:v>168727.69200053843</x:v>
      </x:c>
      <x:c r="D18" s="36" t="n">
        <x:f>SUM(D4:D17)</x:f>
        <x:v>611941.5798685384</x:v>
      </x:c>
      <x:c r="E18" s="36" t="n">
        <x:f>SUM(E4:E17)</x:f>
        <x:v>272995.28095576924</x:v>
      </x:c>
      <x:c r="F18" s="36" t="n">
        <x:f>SUM(F4:F17)</x:f>
        <x:v>1140277.5088365385</x:v>
      </x:c>
      <x:c r="G18" s="36" t="n">
        <x:f>SUM(G4:G17)</x:f>
        <x:v>1715954.2792806155</x:v>
      </x:c>
      <x:c r="H18" s="36" t="n">
        <x:f>SUM(H4:H17)</x:f>
        <x:v>710110.5378909999</x:v>
      </x:c>
      <x:c r="I18" s="36" t="n">
        <x:f>SUM(I4:I17)</x:f>
        <x:v>730253.3980553078</x:v>
      </x:c>
      <x:c r="J18" s="36" t="n">
        <x:f>SUM(J4:J17)</x:f>
        <x:v>406558.88868023077</x:v>
      </x:c>
      <x:c r="K18" s="36" t="n">
        <x:f>SUM(K4:K17)</x:f>
        <x:v>126021.24129</x:v>
      </x:c>
      <x:c r="L18" s="36" t="n">
        <x:f>SUM(L4:L17)</x:f>
        <x:v>185259.84262484615</x:v>
      </x:c>
      <x:c r="M18" s="36" t="n">
        <x:f>SUM(M4:M17)</x:f>
        <x:v>123403.23945476924</x:v>
      </x:c>
      <x:c r="N18" s="36" t="n">
        <x:f>SUM(N4:N17)</x:f>
        <x:v>1660583.5960215386</x:v>
      </x:c>
      <x:c r="O18" s="36" t="n">
        <x:f>SUM(O4:O17)</x:f>
        <x:v>91384.502145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15" t="str">
        <x:v>14×14 Fixed Trade Weight Matrix (2000–2012 Average)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3">
      <x:c r="A3" s="5" t="str">
        <x:v>Reporter \ Partner</x:v>
      </x:c>
      <x:c r="B3" s="5" t="str">
        <x:v>AU</x:v>
      </x:c>
      <x:c r="C3" s="5" t="str">
        <x:v>BR</x:v>
      </x:c>
      <x:c r="D3" s="5" t="str">
        <x:v>CA</x:v>
      </x:c>
      <x:c r="E3" s="5" t="str">
        <x:v>CH</x:v>
      </x:c>
      <x:c r="F3" s="5" t="str">
        <x:v>CN</x:v>
      </x:c>
      <x:c r="G3" s="5" t="str">
        <x:v>EA</x:v>
      </x:c>
      <x:c r="H3" s="5" t="str">
        <x:v>UK</x:v>
      </x:c>
      <x:c r="I3" s="5" t="str">
        <x:v>JP</x:v>
      </x:c>
      <x:c r="J3" s="5" t="str">
        <x:v>KR</x:v>
      </x:c>
      <x:c r="K3" s="5" t="str">
        <x:v>NO</x:v>
      </x:c>
      <x:c r="L3" s="5" t="str">
        <x:v>SG</x:v>
      </x:c>
      <x:c r="M3" s="5" t="str">
        <x:v>TR</x:v>
      </x:c>
      <x:c r="N3" s="5" t="str">
        <x:v>US</x:v>
      </x:c>
      <x:c r="O3" s="5" t="str">
        <x:v>ZA</x:v>
      </x:c>
      <x:c r="P3" s="5" t="str">
        <x:v>Row Sum</x:v>
      </x:c>
    </x:row>
    <x:row r="4">
      <x:c r="A4" s="23" t="str">
        <x:v>AU</x:v>
      </x:c>
      <x:c r="B4" s="38" t="n">
        <x:f>0</x:f>
        <x:v>0</x:v>
      </x:c>
      <x:c r="C4" s="38" t="n">
        <x:f>'Trade_Average_2000_2012'!C4/SUM('Trade_Average_2000_2012'!$B4:$O4)</x:f>
        <x:v>0.00681696983824398</x:v>
      </x:c>
      <x:c r="D4" s="38" t="n">
        <x:f>'Trade_Average_2000_2012'!D4/SUM('Trade_Average_2000_2012'!$B4:$O4)</x:f>
        <x:v>0.014605540635726288</x:v>
      </x:c>
      <x:c r="E4" s="38" t="n">
        <x:f>'Trade_Average_2000_2012'!E4/SUM('Trade_Average_2000_2012'!$B4:$O4)</x:f>
        <x:v>0.010303519864754248</x:v>
      </x:c>
      <x:c r="F4" s="38" t="n">
        <x:f>'Trade_Average_2000_2012'!F4/SUM('Trade_Average_2000_2012'!$B4:$O4)</x:f>
        <x:v>0.2507770208034716</x:v>
      </x:c>
      <x:c r="G4" s="38" t="n">
        <x:f>'Trade_Average_2000_2012'!G4/SUM('Trade_Average_2000_2012'!$B4:$O4)</x:f>
        <x:v>0.14922244555272088</x:v>
      </x:c>
      <x:c r="H4" s="38" t="n">
        <x:f>'Trade_Average_2000_2012'!H4/SUM('Trade_Average_2000_2012'!$B4:$O4)</x:f>
        <x:v>0.054983827979528326</x:v>
      </x:c>
      <x:c r="I4" s="38" t="n">
        <x:f>'Trade_Average_2000_2012'!I4/SUM('Trade_Average_2000_2012'!$B4:$O4)</x:f>
        <x:v>0.21067319951809046</x:v>
      </x:c>
      <x:c r="J4" s="38" t="n">
        <x:f>'Trade_Average_2000_2012'!J4/SUM('Trade_Average_2000_2012'!$B4:$O4)</x:f>
        <x:v>0.08410197074229084</x:v>
      </x:c>
      <x:c r="K4" s="38" t="n">
        <x:f>'Trade_Average_2000_2012'!K4/SUM('Trade_Average_2000_2012'!$B4:$O4)</x:f>
        <x:v>0.0018287395999259002</x:v>
      </x:c>
      <x:c r="L4" s="38" t="n">
        <x:f>'Trade_Average_2000_2012'!L4/SUM('Trade_Average_2000_2012'!$B4:$O4)</x:f>
        <x:v>0.06151762634058053</x:v>
      </x:c>
      <x:c r="M4" s="38" t="n">
        <x:f>'Trade_Average_2000_2012'!M4/SUM('Trade_Average_2000_2012'!$B4:$O4)</x:f>
        <x:v>0.0034156058151688803</x:v>
      </x:c>
      <x:c r="N4" s="38" t="n">
        <x:f>'Trade_Average_2000_2012'!N4/SUM('Trade_Average_2000_2012'!$B4:$O4)</x:f>
        <x:v>0.14003653671895366</x:v>
      </x:c>
      <x:c r="O4" s="38" t="n">
        <x:f>'Trade_Average_2000_2012'!O4/SUM('Trade_Average_2000_2012'!$B4:$O4)</x:f>
        <x:v>0.011716996590544345</x:v>
      </x:c>
      <x:c r="P4" s="38" t="n">
        <x:f>SUM(B4:O4)</x:f>
        <x:v>1</x:v>
      </x:c>
    </x:row>
    <x:row r="5">
      <x:c r="A5" s="23" t="str">
        <x:v>BR</x:v>
      </x:c>
      <x:c r="B5" s="38" t="n">
        <x:f>'Trade_Average_2000_2012'!B5/SUM('Trade_Average_2000_2012'!$B5:$O5)</x:f>
        <x:v>0.008789728246983684</x:v>
      </x:c>
      <x:c r="C5" s="38" t="n">
        <x:f>0</x:f>
        <x:v>0</x:v>
      </x:c>
      <x:c r="D5" s="38" t="n">
        <x:f>'Trade_Average_2000_2012'!D5/SUM('Trade_Average_2000_2012'!$B5:$O5)</x:f>
        <x:v>0.02329110907167298</x:v>
      </x:c>
      <x:c r="E5" s="38" t="n">
        <x:f>'Trade_Average_2000_2012'!E5/SUM('Trade_Average_2000_2012'!$B5:$O5)</x:f>
        <x:v>0.01863106821382845</x:v>
      </x:c>
      <x:c r="F5" s="38" t="n">
        <x:f>'Trade_Average_2000_2012'!F5/SUM('Trade_Average_2000_2012'!$B5:$O5)</x:f>
        <x:v>0.18371611829916573</x:v>
      </x:c>
      <x:c r="G5" s="38" t="n">
        <x:f>'Trade_Average_2000_2012'!G5/SUM('Trade_Average_2000_2012'!$B5:$O5)</x:f>
        <x:v>0.3265791583652871</x:v>
      </x:c>
      <x:c r="H5" s="38" t="n">
        <x:f>'Trade_Average_2000_2012'!H5/SUM('Trade_Average_2000_2012'!$B5:$O5)</x:f>
        <x:v>0.03357129730094584</x:v>
      </x:c>
      <x:c r="I5" s="38" t="n">
        <x:f>'Trade_Average_2000_2012'!I5/SUM('Trade_Average_2000_2012'!$B5:$O5)</x:f>
        <x:v>0.061205855565142527</x:v>
      </x:c>
      <x:c r="J5" s="38" t="n">
        <x:f>'Trade_Average_2000_2012'!J5/SUM('Trade_Average_2000_2012'!$B5:$O5)</x:f>
        <x:v>0.04305701784993203</x:v>
      </x:c>
      <x:c r="K5" s="38" t="n">
        <x:f>'Trade_Average_2000_2012'!K5/SUM('Trade_Average_2000_2012'!$B5:$O5)</x:f>
        <x:v>0.006599717528813352</x:v>
      </x:c>
      <x:c r="L5" s="38" t="n">
        <x:f>'Trade_Average_2000_2012'!L5/SUM('Trade_Average_2000_2012'!$B5:$O5)</x:f>
        <x:v>0.012977845442222972</x:v>
      </x:c>
      <x:c r="M5" s="38" t="n">
        <x:f>'Trade_Average_2000_2012'!M5/SUM('Trade_Average_2000_2012'!$B5:$O5)</x:f>
        <x:v>0.006383388688086192</x:v>
      </x:c>
      <x:c r="N5" s="38" t="n">
        <x:f>'Trade_Average_2000_2012'!N5/SUM('Trade_Average_2000_2012'!$B5:$O5)</x:f>
        <x:v>0.2642478633338616</x:v>
      </x:c>
      <x:c r="O5" s="38" t="n">
        <x:f>'Trade_Average_2000_2012'!O5/SUM('Trade_Average_2000_2012'!$B5:$O5)</x:f>
        <x:v>0.010949832094057494</x:v>
      </x:c>
      <x:c r="P5" s="38" t="n">
        <x:f>SUM(B5:O5)</x:f>
        <x:v>1.0000000000000002</x:v>
      </x:c>
    </x:row>
    <x:row r="6">
      <x:c r="A6" s="23" t="str">
        <x:v>CA</x:v>
      </x:c>
      <x:c r="B6" s="38" t="n">
        <x:f>'Trade_Average_2000_2012'!B6/SUM('Trade_Average_2000_2012'!$B6:$O6)</x:f>
        <x:v>0.004685555306839585</x:v>
      </x:c>
      <x:c r="C6" s="38" t="n">
        <x:f>'Trade_Average_2000_2012'!C6/SUM('Trade_Average_2000_2012'!$B6:$O6)</x:f>
        <x:v>0.0063559818320136265</x:v>
      </x:c>
      <x:c r="D6" s="38" t="n">
        <x:f>0</x:f>
        <x:v>0</x:v>
      </x:c>
      <x:c r="E6" s="38" t="n">
        <x:f>'Trade_Average_2000_2012'!E6/SUM('Trade_Average_2000_2012'!$B6:$O6)</x:f>
        <x:v>0.004760579285384908</x:v>
      </x:c>
      <x:c r="F6" s="38" t="n">
        <x:f>'Trade_Average_2000_2012'!F6/SUM('Trade_Average_2000_2012'!$B6:$O6)</x:f>
        <x:v>0.06120861874020048</x:v>
      </x:c>
      <x:c r="G6" s="38" t="n">
        <x:f>'Trade_Average_2000_2012'!G6/SUM('Trade_Average_2000_2012'!$B6:$O6)</x:f>
        <x:v>0.06606463011328002</x:v>
      </x:c>
      <x:c r="H6" s="38" t="n">
        <x:f>'Trade_Average_2000_2012'!H6/SUM('Trade_Average_2000_2012'!$B6:$O6)</x:f>
        <x:v>0.030269365438100135</x:v>
      </x:c>
      <x:c r="I6" s="38" t="n">
        <x:f>'Trade_Average_2000_2012'!I6/SUM('Trade_Average_2000_2012'!$B6:$O6)</x:f>
        <x:v>0.03309255863854319</x:v>
      </x:c>
      <x:c r="J6" s="38" t="n">
        <x:f>'Trade_Average_2000_2012'!J6/SUM('Trade_Average_2000_2012'!$B6:$O6)</x:f>
        <x:v>0.01239828286427791</x:v>
      </x:c>
      <x:c r="K6" s="38" t="n">
        <x:f>'Trade_Average_2000_2012'!K6/SUM('Trade_Average_2000_2012'!$B6:$O6)</x:f>
        <x:v>0.009022572560566398</x:v>
      </x:c>
      <x:c r="L6" s="38" t="n">
        <x:f>'Trade_Average_2000_2012'!L6/SUM('Trade_Average_2000_2012'!$B6:$O6)</x:f>
        <x:v>0.0026999287115326634</x:v>
      </x:c>
      <x:c r="M6" s="38" t="n">
        <x:f>'Trade_Average_2000_2012'!M6/SUM('Trade_Average_2000_2012'!$B6:$O6)</x:f>
        <x:v>0.0019031072567540002</x:v>
      </x:c>
      <x:c r="N6" s="38" t="n">
        <x:f>'Trade_Average_2000_2012'!N6/SUM('Trade_Average_2000_2012'!$B6:$O6)</x:f>
        <x:v>0.765813619200029</x:v>
      </x:c>
      <x:c r="O6" s="38" t="n">
        <x:f>'Trade_Average_2000_2012'!O6/SUM('Trade_Average_2000_2012'!$B6:$O6)</x:f>
        <x:v>0.0017252000524780426</x:v>
      </x:c>
      <x:c r="P6" s="38" t="n">
        <x:f>SUM(B6:O6)</x:f>
        <x:v>0.9999999999999999</x:v>
      </x:c>
    </x:row>
    <x:row r="7">
      <x:c r="A7" s="23" t="str">
        <x:v>CH</x:v>
      </x:c>
      <x:c r="B7" s="38" t="n">
        <x:f>'Trade_Average_2000_2012'!B7/SUM('Trade_Average_2000_2012'!$B7:$O7)</x:f>
        <x:v>0.007027244453178208</x:v>
      </x:c>
      <x:c r="C7" s="38" t="n">
        <x:f>'Trade_Average_2000_2012'!C7/SUM('Trade_Average_2000_2012'!$B7:$O7)</x:f>
        <x:v>0.00873465505797196</x:v>
      </x:c>
      <x:c r="D7" s="38" t="n">
        <x:f>'Trade_Average_2000_2012'!D7/SUM('Trade_Average_2000_2012'!$B7:$O7)</x:f>
        <x:v>0.010642174803571762</x:v>
      </x:c>
      <x:c r="E7" s="38" t="n">
        <x:f>0</x:f>
        <x:v>0</x:v>
      </x:c>
      <x:c r="F7" s="38" t="n">
        <x:f>'Trade_Average_2000_2012'!F7/SUM('Trade_Average_2000_2012'!$B7:$O7)</x:f>
        <x:v>0.032758087807280706</x:v>
      </x:c>
      <x:c r="G7" s="38" t="n">
        <x:f>'Trade_Average_2000_2012'!G7/SUM('Trade_Average_2000_2012'!$B7:$O7)</x:f>
        <x:v>0.7081183436201614</x:v>
      </x:c>
      <x:c r="H7" s="38" t="n">
        <x:f>'Trade_Average_2000_2012'!H7/SUM('Trade_Average_2000_2012'!$B7:$O7)</x:f>
        <x:v>0.06174023913272193</x:v>
      </x:c>
      <x:c r="I7" s="38" t="n">
        <x:f>'Trade_Average_2000_2012'!I7/SUM('Trade_Average_2000_2012'!$B7:$O7)</x:f>
        <x:v>0.03289335492036288</x:v>
      </x:c>
      <x:c r="J7" s="38" t="n">
        <x:f>'Trade_Average_2000_2012'!J7/SUM('Trade_Average_2000_2012'!$B7:$O7)</x:f>
        <x:v>0.007867006892945099</x:v>
      </x:c>
      <x:c r="K7" s="38" t="n">
        <x:f>'Trade_Average_2000_2012'!K7/SUM('Trade_Average_2000_2012'!$B7:$O7)</x:f>
        <x:v>0.0035461100945054598</x:v>
      </x:c>
      <x:c r="L7" s="38" t="n">
        <x:f>'Trade_Average_2000_2012'!L7/SUM('Trade_Average_2000_2012'!$B7:$O7)</x:f>
        <x:v>0.01036939652934133</x:v>
      </x:c>
      <x:c r="M7" s="38" t="n">
        <x:f>'Trade_Average_2000_2012'!M7/SUM('Trade_Average_2000_2012'!$B7:$O7)</x:f>
        <x:v>0.009970636564758337</x:v>
      </x:c>
      <x:c r="N7" s="38" t="n">
        <x:f>'Trade_Average_2000_2012'!N7/SUM('Trade_Average_2000_2012'!$B7:$O7)</x:f>
        <x:v>0.10049578399245451</x:v>
      </x:c>
      <x:c r="O7" s="38" t="n">
        <x:f>'Trade_Average_2000_2012'!O7/SUM('Trade_Average_2000_2012'!$B7:$O7)</x:f>
        <x:v>0.005836966130746456</x:v>
      </x:c>
      <x:c r="P7" s="38" t="n">
        <x:f>SUM(B7:O7)</x:f>
        <x:v>1</x:v>
      </x:c>
    </x:row>
    <x:row r="8">
      <x:c r="A8" s="23" t="str">
        <x:v>CN</x:v>
      </x:c>
      <x:c r="B8" s="38" t="n">
        <x:f>'Trade_Average_2000_2012'!B8/SUM('Trade_Average_2000_2012'!$B8:$O8)</x:f>
        <x:v>0.04497425121293894</x:v>
      </x:c>
      <x:c r="C8" s="38" t="n">
        <x:f>'Trade_Average_2000_2012'!C8/SUM('Trade_Average_2000_2012'!$B8:$O8)</x:f>
        <x:v>0.03132456965976373</x:v>
      </x:c>
      <x:c r="D8" s="38" t="n">
        <x:f>'Trade_Average_2000_2012'!D8/SUM('Trade_Average_2000_2012'!$B8:$O8)</x:f>
        <x:v>0.02384248984864117</x:v>
      </x:c>
      <x:c r="E8" s="38" t="n">
        <x:f>'Trade_Average_2000_2012'!E8/SUM('Trade_Average_2000_2012'!$B8:$O8)</x:f>
        <x:v>0.009548467830776477</x:v>
      </x:c>
      <x:c r="F8" s="38" t="n">
        <x:f>0</x:f>
        <x:v>0</x:v>
      </x:c>
      <x:c r="G8" s="38" t="n">
        <x:f>'Trade_Average_2000_2012'!G8/SUM('Trade_Average_2000_2012'!$B8:$O8)</x:f>
        <x:v>0.22308986484604526</x:v>
      </x:c>
      <x:c r="H8" s="38" t="n">
        <x:f>'Trade_Average_2000_2012'!H8/SUM('Trade_Average_2000_2012'!$B8:$O8)</x:f>
        <x:v>0.03113477160072067</x:v>
      </x:c>
      <x:c r="I8" s="38" t="n">
        <x:f>'Trade_Average_2000_2012'!I8/SUM('Trade_Average_2000_2012'!$B8:$O8)</x:f>
        <x:v>0.19907388737235807</x:v>
      </x:c>
      <x:c r="J8" s="38" t="n">
        <x:f>'Trade_Average_2000_2012'!J8/SUM('Trade_Average_2000_2012'!$B8:$O8)</x:f>
        <x:v>0.128598323084539</x:v>
      </x:c>
      <x:c r="K8" s="38" t="n">
        <x:f>'Trade_Average_2000_2012'!K8/SUM('Trade_Average_2000_2012'!$B8:$O8)</x:f>
        <x:v>0.003489922360266927</x:v>
      </x:c>
      <x:c r="L8" s="38" t="n">
        <x:f>'Trade_Average_2000_2012'!L8/SUM('Trade_Average_2000_2012'!$B8:$O8)</x:f>
        <x:v>0.036746388662702786</x:v>
      </x:c>
      <x:c r="M8" s="38" t="n">
        <x:f>'Trade_Average_2000_2012'!M8/SUM('Trade_Average_2000_2012'!$B8:$O8)</x:f>
        <x:v>0.008202518792217244</x:v>
      </x:c>
      <x:c r="N8" s="38" t="n">
        <x:f>'Trade_Average_2000_2012'!N8/SUM('Trade_Average_2000_2012'!$B8:$O8)</x:f>
        <x:v>0.24434841522000308</x:v>
      </x:c>
      <x:c r="O8" s="38" t="n">
        <x:f>'Trade_Average_2000_2012'!O8/SUM('Trade_Average_2000_2012'!$B8:$O8)</x:f>
        <x:v>0.015626129509026608</x:v>
      </x:c>
      <x:c r="P8" s="38" t="n">
        <x:f>SUM(B8:O8)</x:f>
        <x:v>0.9999999999999999</x:v>
      </x:c>
    </x:row>
    <x:row r="9">
      <x:c r="A9" s="23" t="str">
        <x:v>EA</x:v>
      </x:c>
      <x:c r="B9" s="38" t="n">
        <x:f>'Trade_Average_2000_2012'!B9/SUM('Trade_Average_2000_2012'!$B9:$O9)</x:f>
        <x:v>0.016186076616086294</x:v>
      </x:c>
      <x:c r="C9" s="38" t="n">
        <x:f>'Trade_Average_2000_2012'!C9/SUM('Trade_Average_2000_2012'!$B9:$O9)</x:f>
        <x:v>0.029607091455289045</x:v>
      </x:c>
      <x:c r="D9" s="38" t="n">
        <x:f>'Trade_Average_2000_2012'!D9/SUM('Trade_Average_2000_2012'!$B9:$O9)</x:f>
        <x:v>0.020649894142856486</x:v>
      </x:c>
      <x:c r="E9" s="38" t="n">
        <x:f>'Trade_Average_2000_2012'!E9/SUM('Trade_Average_2000_2012'!$B9:$O9)</x:f>
        <x:v>0.10292000909857611</x:v>
      </x:c>
      <x:c r="F9" s="38" t="n">
        <x:f>'Trade_Average_2000_2012'!F9/SUM('Trade_Average_2000_2012'!$B9:$O9)</x:f>
        <x:v>0.14326180737626104</x:v>
      </x:c>
      <x:c r="G9" s="38" t="n">
        <x:f>0</x:f>
        <x:v>0</x:v>
      </x:c>
      <x:c r="H9" s="38" t="n">
        <x:f>'Trade_Average_2000_2012'!H9/SUM('Trade_Average_2000_2012'!$B9:$O9)</x:f>
        <x:v>0.2531666505059572</x:v>
      </x:c>
      <x:c r="I9" s="38" t="n">
        <x:f>'Trade_Average_2000_2012'!I9/SUM('Trade_Average_2000_2012'!$B9:$O9)</x:f>
        <x:v>0.06206344088429866</x:v>
      </x:c>
      <x:c r="J9" s="38" t="n">
        <x:f>'Trade_Average_2000_2012'!J9/SUM('Trade_Average_2000_2012'!$B9:$O9)</x:f>
        <x:v>0.03046517397179049</x:v>
      </x:c>
      <x:c r="K9" s="38" t="n">
        <x:f>'Trade_Average_2000_2012'!K9/SUM('Trade_Average_2000_2012'!$B9:$O9)</x:f>
        <x:v>0.04035644377032995</x:v>
      </x:c>
      <x:c r="L9" s="38" t="n">
        <x:f>'Trade_Average_2000_2012'!L9/SUM('Trade_Average_2000_2012'!$B9:$O9)</x:f>
        <x:v>0.018704193279650422</x:v>
      </x:c>
      <x:c r="M9" s="38" t="n">
        <x:f>'Trade_Average_2000_2012'!M9/SUM('Trade_Average_2000_2012'!$B9:$O9)</x:f>
        <x:v>0.045684575699327996</x:v>
      </x:c>
      <x:c r="N9" s="38" t="n">
        <x:f>'Trade_Average_2000_2012'!N9/SUM('Trade_Average_2000_2012'!$B9:$O9)</x:f>
        <x:v>0.219150046794579</x:v>
      </x:c>
      <x:c r="O9" s="38" t="n">
        <x:f>'Trade_Average_2000_2012'!O9/SUM('Trade_Average_2000_2012'!$B9:$O9)</x:f>
        <x:v>0.017784596404997365</x:v>
      </x:c>
      <x:c r="P9" s="38" t="n">
        <x:f>SUM(B9:O9)</x:f>
        <x:v>1.0000000000000002</x:v>
      </x:c>
    </x:row>
    <x:row r="10">
      <x:c r="A10" s="23" t="str">
        <x:v>UK</x:v>
      </x:c>
      <x:c r="B10" s="38" t="n">
        <x:f>'Trade_Average_2000_2012'!B10/SUM('Trade_Average_2000_2012'!$B10:$O10)</x:f>
        <x:v>0.014688531194483267</x:v>
      </x:c>
      <x:c r="C10" s="38" t="n">
        <x:f>'Trade_Average_2000_2012'!C10/SUM('Trade_Average_2000_2012'!$B10:$O10)</x:f>
        <x:v>0.008286334882785226</x:v>
      </x:c>
      <x:c r="D10" s="38" t="n">
        <x:f>'Trade_Average_2000_2012'!D10/SUM('Trade_Average_2000_2012'!$B10:$O10)</x:f>
        <x:v>0.02356460961433125</x:v>
      </x:c>
      <x:c r="E10" s="38" t="n">
        <x:f>'Trade_Average_2000_2012'!E10/SUM('Trade_Average_2000_2012'!$B10:$O10)</x:f>
        <x:v>0.029778936071319945</x:v>
      </x:c>
      <x:c r="F10" s="38" t="n">
        <x:f>'Trade_Average_2000_2012'!F10/SUM('Trade_Average_2000_2012'!$B10:$O10)</x:f>
        <x:v>0.05678150430812388</x:v>
      </x:c>
      <x:c r="G10" s="38" t="n">
        <x:f>'Trade_Average_2000_2012'!G10/SUM('Trade_Average_2000_2012'!$B10:$O10)</x:f>
        <x:v>0.6019649741655786</x:v>
      </x:c>
      <x:c r="H10" s="38" t="n">
        <x:f>0</x:f>
        <x:v>0</x:v>
      </x:c>
      <x:c r="I10" s="38" t="n">
        <x:f>'Trade_Average_2000_2012'!I10/SUM('Trade_Average_2000_2012'!$B10:$O10)</x:f>
        <x:v>0.03010168570897712</x:v>
      </x:c>
      <x:c r="J10" s="38" t="n">
        <x:f>'Trade_Average_2000_2012'!J10/SUM('Trade_Average_2000_2012'!$B10:$O10)</x:f>
        <x:v>0.011613295056013145</x:v>
      </x:c>
      <x:c r="K10" s="38" t="n">
        <x:f>'Trade_Average_2000_2012'!K10/SUM('Trade_Average_2000_2012'!$B10:$O10)</x:f>
        <x:v>0.03906329812268584</x:v>
      </x:c>
      <x:c r="L10" s="38" t="n">
        <x:f>'Trade_Average_2000_2012'!L10/SUM('Trade_Average_2000_2012'!$B10:$O10)</x:f>
        <x:v>0.013011171102492437</x:v>
      </x:c>
      <x:c r="M10" s="38" t="n">
        <x:f>'Trade_Average_2000_2012'!M10/SUM('Trade_Average_2000_2012'!$B10:$O10)</x:f>
        <x:v>0.014659254183224772</x:v>
      </x:c>
      <x:c r="N10" s="38" t="n">
        <x:f>'Trade_Average_2000_2012'!N10/SUM('Trade_Average_2000_2012'!$B10:$O10)</x:f>
        <x:v>0.13993696152754492</x:v>
      </x:c>
      <x:c r="O10" s="38" t="n">
        <x:f>'Trade_Average_2000_2012'!O10/SUM('Trade_Average_2000_2012'!$B10:$O10)</x:f>
        <x:v>0.016549444062439547</x:v>
      </x:c>
      <x:c r="P10" s="38" t="n">
        <x:f>SUM(B10:O10)</x:f>
        <x:v>0.9999999999999999</x:v>
      </x:c>
    </x:row>
    <x:row r="11">
      <x:c r="A11" s="23" t="str">
        <x:v>JP</x:v>
      </x:c>
      <x:c r="B11" s="38" t="n">
        <x:f>'Trade_Average_2000_2012'!B11/SUM('Trade_Average_2000_2012'!$B11:$O11)</x:f>
        <x:v>0.059656274190449075</x:v>
      </x:c>
      <x:c r="C11" s="38" t="n">
        <x:f>'Trade_Average_2000_2012'!C11/SUM('Trade_Average_2000_2012'!$B11:$O11)</x:f>
        <x:v>0.013582807569945005</x:v>
      </x:c>
      <x:c r="D11" s="38" t="n">
        <x:f>'Trade_Average_2000_2012'!D11/SUM('Trade_Average_2000_2012'!$B11:$O11)</x:f>
        <x:v>0.025083606136141415</x:v>
      </x:c>
      <x:c r="E11" s="38" t="n">
        <x:f>'Trade_Average_2000_2012'!E11/SUM('Trade_Average_2000_2012'!$B11:$O11)</x:f>
        <x:v>0.012466563032440035</x:v>
      </x:c>
      <x:c r="F11" s="38" t="n">
        <x:f>'Trade_Average_2000_2012'!F11/SUM('Trade_Average_2000_2012'!$B11:$O11)</x:f>
        <x:v>0.2826939098171933</x:v>
      </x:c>
      <x:c r="G11" s="38" t="n">
        <x:f>'Trade_Average_2000_2012'!G11/SUM('Trade_Average_2000_2012'!$B11:$O11)</x:f>
        <x:v>0.1531288530191546</x:v>
      </x:c>
      <x:c r="H11" s="38" t="n">
        <x:f>'Trade_Average_2000_2012'!H11/SUM('Trade_Average_2000_2012'!$B11:$O11)</x:f>
        <x:v>0.02849002464151047</x:v>
      </x:c>
      <x:c r="I11" s="38" t="n">
        <x:f>0</x:f>
        <x:v>0</x:v>
      </x:c>
      <x:c r="J11" s="38" t="n">
        <x:f>'Trade_Average_2000_2012'!J11/SUM('Trade_Average_2000_2012'!$B11:$O11)</x:f>
        <x:v>0.09898321943158793</x:v>
      </x:c>
      <x:c r="K11" s="38" t="n">
        <x:f>'Trade_Average_2000_2012'!K11/SUM('Trade_Average_2000_2012'!$B11:$O11)</x:f>
        <x:v>0.0036050133098376436</x:v>
      </x:c>
      <x:c r="L11" s="38" t="n">
        <x:f>'Trade_Average_2000_2012'!L11/SUM('Trade_Average_2000_2012'!$B11:$O11)</x:f>
        <x:v>0.03720331144886943</x:v>
      </x:c>
      <x:c r="M11" s="38" t="n">
        <x:f>'Trade_Average_2000_2012'!M11/SUM('Trade_Average_2000_2012'!$B11:$O11)</x:f>
        <x:v>0.003187812987755733</x:v>
      </x:c>
      <x:c r="N11" s="38" t="n">
        <x:f>'Trade_Average_2000_2012'!N11/SUM('Trade_Average_2000_2012'!$B11:$O11)</x:f>
        <x:v>0.2699329092856486</x:v>
      </x:c>
      <x:c r="O11" s="38" t="n">
        <x:f>'Trade_Average_2000_2012'!O11/SUM('Trade_Average_2000_2012'!$B11:$O11)</x:f>
        <x:v>0.011985695129466668</x:v>
      </x:c>
      <x:c r="P11" s="38" t="n">
        <x:f>SUM(B11:O11)</x:f>
        <x:v>1</x:v>
      </x:c>
    </x:row>
    <x:row r="12">
      <x:c r="A12" s="23" t="str">
        <x:v>KR</x:v>
      </x:c>
      <x:c r="B12" s="38" t="n">
        <x:f>'Trade_Average_2000_2012'!B12/SUM('Trade_Average_2000_2012'!$B12:$O12)</x:f>
        <x:v>0.04496091171763236</x:v>
      </x:c>
      <x:c r="C12" s="38" t="n">
        <x:f>'Trade_Average_2000_2012'!C12/SUM('Trade_Average_2000_2012'!$B12:$O12)</x:f>
        <x:v>0.019216493332223437</x:v>
      </x:c>
      <x:c r="D12" s="38" t="n">
        <x:f>'Trade_Average_2000_2012'!D12/SUM('Trade_Average_2000_2012'!$B12:$O12)</x:f>
        <x:v>0.017208622040204964</x:v>
      </x:c>
      <x:c r="E12" s="38" t="n">
        <x:f>'Trade_Average_2000_2012'!E12/SUM('Trade_Average_2000_2012'!$B12:$O12)</x:f>
        <x:v>0.005424385802302046</x:v>
      </x:c>
      <x:c r="F12" s="38" t="n">
        <x:f>'Trade_Average_2000_2012'!F12/SUM('Trade_Average_2000_2012'!$B12:$O12)</x:f>
        <x:v>0.30158606168696495</x:v>
      </x:c>
      <x:c r="G12" s="38" t="n">
        <x:f>'Trade_Average_2000_2012'!G12/SUM('Trade_Average_2000_2012'!$B12:$O12)</x:f>
        <x:v>0.1431583962070013</x:v>
      </x:c>
      <x:c r="H12" s="38" t="n">
        <x:f>'Trade_Average_2000_2012'!H12/SUM('Trade_Average_2000_2012'!$B12:$O12)</x:f>
        <x:v>0.021545070138782603</x:v>
      </x:c>
      <x:c r="I12" s="38" t="n">
        <x:f>'Trade_Average_2000_2012'!I12/SUM('Trade_Average_2000_2012'!$B12:$O12)</x:f>
        <x:v>0.18822337336070175</x:v>
      </x:c>
      <x:c r="J12" s="38" t="n">
        <x:f>0</x:f>
        <x:v>0</x:v>
      </x:c>
      <x:c r="K12" s="38" t="n">
        <x:f>'Trade_Average_2000_2012'!K12/SUM('Trade_Average_2000_2012'!$B12:$O12)</x:f>
        <x:v>0.006756614247058197</x:v>
      </x:c>
      <x:c r="L12" s="38" t="n">
        <x:f>'Trade_Average_2000_2012'!L12/SUM('Trade_Average_2000_2012'!$B12:$O12)</x:f>
        <x:v>0.0434513730388562</x:v>
      </x:c>
      <x:c r="M12" s="38" t="n">
        <x:f>'Trade_Average_2000_2012'!M12/SUM('Trade_Average_2000_2012'!$B12:$O12)</x:f>
        <x:v>0.007868945806414111</x:v>
      </x:c>
      <x:c r="N12" s="38" t="n">
        <x:f>'Trade_Average_2000_2012'!N12/SUM('Trade_Average_2000_2012'!$B12:$O12)</x:f>
        <x:v>0.19366333047144008</x:v>
      </x:c>
      <x:c r="O12" s="38" t="n">
        <x:f>'Trade_Average_2000_2012'!O12/SUM('Trade_Average_2000_2012'!$B12:$O12)</x:f>
        <x:v>0.006936422150418065</x:v>
      </x:c>
      <x:c r="P12" s="38" t="n">
        <x:f>SUM(B12:O12)</x:f>
        <x:v>0.9999999999999999</x:v>
      </x:c>
    </x:row>
    <x:row r="13">
      <x:c r="A13" s="23" t="str">
        <x:v>NO</x:v>
      </x:c>
      <x:c r="B13" s="38" t="n">
        <x:f>'Trade_Average_2000_2012'!B13/SUM('Trade_Average_2000_2012'!$B13:$O13)</x:f>
        <x:v>0.0023626792944748056</x:v>
      </x:c>
      <x:c r="C13" s="38" t="n">
        <x:f>'Trade_Average_2000_2012'!C13/SUM('Trade_Average_2000_2012'!$B13:$O13)</x:f>
        <x:v>0.009044090360564172</x:v>
      </x:c>
      <x:c r="D13" s="38" t="n">
        <x:f>'Trade_Average_2000_2012'!D13/SUM('Trade_Average_2000_2012'!$B13:$O13)</x:f>
        <x:v>0.03597385503983442</x:v>
      </x:c>
      <x:c r="E13" s="38" t="n">
        <x:f>'Trade_Average_2000_2012'!E13/SUM('Trade_Average_2000_2012'!$B13:$O13)</x:f>
        <x:v>0.009516602821227729</x:v>
      </x:c>
      <x:c r="F13" s="38" t="n">
        <x:f>'Trade_Average_2000_2012'!F13/SUM('Trade_Average_2000_2012'!$B13:$O13)</x:f>
        <x:v>0.04259089683522405</x:v>
      </x:c>
      <x:c r="G13" s="38" t="n">
        <x:f>'Trade_Average_2000_2012'!G13/SUM('Trade_Average_2000_2012'!$B13:$O13)</x:f>
        <x:v>0.5267547472756461</x:v>
      </x:c>
      <x:c r="H13" s="38" t="n">
        <x:f>'Trade_Average_2000_2012'!H13/SUM('Trade_Average_2000_2012'!$B13:$O13)</x:f>
        <x:v>0.24141820080791654</x:v>
      </x:c>
      <x:c r="I13" s="38" t="n">
        <x:f>'Trade_Average_2000_2012'!I13/SUM('Trade_Average_2000_2012'!$B13:$O13)</x:f>
        <x:v>0.021678436868581594</x:v>
      </x:c>
      <x:c r="J13" s="38" t="n">
        <x:f>'Trade_Average_2000_2012'!J13/SUM('Trade_Average_2000_2012'!$B13:$O13)</x:f>
        <x:v>0.017451642396653266</x:v>
      </x:c>
      <x:c r="K13" s="38" t="n">
        <x:f>0</x:f>
        <x:v>0</x:v>
      </x:c>
      <x:c r="L13" s="38" t="n">
        <x:f>'Trade_Average_2000_2012'!L13/SUM('Trade_Average_2000_2012'!$B13:$O13)</x:f>
        <x:v>0.007642697209346237</x:v>
      </x:c>
      <x:c r="M13" s="38" t="n">
        <x:f>'Trade_Average_2000_2012'!M13/SUM('Trade_Average_2000_2012'!$B13:$O13)</x:f>
        <x:v>0.006903679314800263</x:v>
      </x:c>
      <x:c r="N13" s="38" t="n">
        <x:f>'Trade_Average_2000_2012'!N13/SUM('Trade_Average_2000_2012'!$B13:$O13)</x:f>
        <x:v>0.07628362124923452</x:v>
      </x:c>
      <x:c r="O13" s="38" t="n">
        <x:f>'Trade_Average_2000_2012'!O13/SUM('Trade_Average_2000_2012'!$B13:$O13)</x:f>
        <x:v>0.002378850526496348</x:v>
      </x:c>
      <x:c r="P13" s="38" t="n">
        <x:f>SUM(B13:O13)</x:f>
        <x:v>1</x:v>
      </x:c>
    </x:row>
    <x:row r="14">
      <x:c r="A14" s="23" t="str">
        <x:v>SG</x:v>
      </x:c>
      <x:c r="B14" s="38" t="n">
        <x:f>'Trade_Average_2000_2012'!B14/SUM('Trade_Average_2000_2012'!$B14:$O14)</x:f>
        <x:v>0.05496045308763646</x:v>
      </x:c>
      <x:c r="C14" s="38" t="n">
        <x:f>'Trade_Average_2000_2012'!C14/SUM('Trade_Average_2000_2012'!$B14:$O14)</x:f>
        <x:v>0.008030433183631175</x:v>
      </x:c>
      <x:c r="D14" s="38" t="n">
        <x:f>'Trade_Average_2000_2012'!D14/SUM('Trade_Average_2000_2012'!$B14:$O14)</x:f>
        <x:v>0.00846404394388259</x:v>
      </x:c>
      <x:c r="E14" s="38" t="n">
        <x:f>'Trade_Average_2000_2012'!E14/SUM('Trade_Average_2000_2012'!$B14:$O14)</x:f>
        <x:v>0.015410592416160935</x:v>
      </x:c>
      <x:c r="F14" s="38" t="n">
        <x:f>'Trade_Average_2000_2012'!F14/SUM('Trade_Average_2000_2012'!$B14:$O14)</x:f>
        <x:v>0.20223930446515842</x:v>
      </x:c>
      <x:c r="G14" s="38" t="n">
        <x:f>'Trade_Average_2000_2012'!G14/SUM('Trade_Average_2000_2012'!$B14:$O14)</x:f>
        <x:v>0.18969234741454796</x:v>
      </x:c>
      <x:c r="H14" s="38" t="n">
        <x:f>'Trade_Average_2000_2012'!H14/SUM('Trade_Average_2000_2012'!$B14:$O14)</x:f>
        <x:v>0.042830067480590095</x:v>
      </x:c>
      <x:c r="I14" s="38" t="n">
        <x:f>'Trade_Average_2000_2012'!I14/SUM('Trade_Average_2000_2012'!$B14:$O14)</x:f>
        <x:v>0.14920642012748764</x:v>
      </x:c>
      <x:c r="J14" s="38" t="n">
        <x:f>'Trade_Average_2000_2012'!J14/SUM('Trade_Average_2000_2012'!$B14:$O14)</x:f>
        <x:v>0.09483333043029903</x:v>
      </x:c>
      <x:c r="K14" s="38" t="n">
        <x:f>'Trade_Average_2000_2012'!K14/SUM('Trade_Average_2000_2012'!$B14:$O14)</x:f>
        <x:v>0.004801062929163946</x:v>
      </x:c>
      <x:c r="L14" s="38" t="n">
        <x:f>0</x:f>
        <x:v>0</x:v>
      </x:c>
      <x:c r="M14" s="38" t="n">
        <x:f>'Trade_Average_2000_2012'!M14/SUM('Trade_Average_2000_2012'!$B14:$O14)</x:f>
        <x:v>0.0029823798652268627</x:v>
      </x:c>
      <x:c r="N14" s="38" t="n">
        <x:f>'Trade_Average_2000_2012'!N14/SUM('Trade_Average_2000_2012'!$B14:$O14)</x:f>
        <x:v>0.22130192569311768</x:v>
      </x:c>
      <x:c r="O14" s="38" t="n">
        <x:f>'Trade_Average_2000_2012'!O14/SUM('Trade_Average_2000_2012'!$B14:$O14)</x:f>
        <x:v>0.005247638963097177</x:v>
      </x:c>
      <x:c r="P14" s="38" t="n">
        <x:f>SUM(B14:O14)</x:f>
        <x:v>1</x:v>
      </x:c>
    </x:row>
    <x:row r="15">
      <x:c r="A15" s="23" t="str">
        <x:v>TR</x:v>
      </x:c>
      <x:c r="B15" s="38" t="n">
        <x:f>'Trade_Average_2000_2012'!B15/SUM('Trade_Average_2000_2012'!$B15:$O15)</x:f>
        <x:v>0.005845974682433928</x:v>
      </x:c>
      <x:c r="C15" s="38" t="n">
        <x:f>'Trade_Average_2000_2012'!C15/SUM('Trade_Average_2000_2012'!$B15:$O15)</x:f>
        <x:v>0.010199505924213686</x:v>
      </x:c>
      <x:c r="D15" s="38" t="n">
        <x:f>'Trade_Average_2000_2012'!D15/SUM('Trade_Average_2000_2012'!$B15:$O15)</x:f>
        <x:v>0.0089858050603299</x:v>
      </x:c>
      <x:c r="E15" s="38" t="n">
        <x:f>'Trade_Average_2000_2012'!E15/SUM('Trade_Average_2000_2012'!$B15:$O15)</x:f>
        <x:v>0.03783448932735315</x:v>
      </x:c>
      <x:c r="F15" s="38" t="n">
        <x:f>'Trade_Average_2000_2012'!F15/SUM('Trade_Average_2000_2012'!$B15:$O15)</x:f>
        <x:v>0.08964293473094186</x:v>
      </x:c>
      <x:c r="G15" s="38" t="n">
        <x:f>'Trade_Average_2000_2012'!G15/SUM('Trade_Average_2000_2012'!$B15:$O15)</x:f>
        <x:v>0.5919030452319453</x:v>
      </x:c>
      <x:c r="H15" s="38" t="n">
        <x:f>'Trade_Average_2000_2012'!H15/SUM('Trade_Average_2000_2012'!$B15:$O15)</x:f>
        <x:v>0.0820156254648502</x:v>
      </x:c>
      <x:c r="I15" s="38" t="n">
        <x:f>'Trade_Average_2000_2012'!I15/SUM('Trade_Average_2000_2012'!$B15:$O15)</x:f>
        <x:v>0.024994416372740743</x:v>
      </x:c>
      <x:c r="J15" s="38" t="n">
        <x:f>'Trade_Average_2000_2012'!J15/SUM('Trade_Average_2000_2012'!$B15:$O15)</x:f>
        <x:v>0.027970714049211455</x:v>
      </x:c>
      <x:c r="K15" s="38" t="n">
        <x:f>'Trade_Average_2000_2012'!K15/SUM('Trade_Average_2000_2012'!$B15:$O15)</x:f>
        <x:v>0.006599189721657741</x:v>
      </x:c>
      <x:c r="L15" s="38" t="n">
        <x:f>'Trade_Average_2000_2012'!L15/SUM('Trade_Average_2000_2012'!$B15:$O15)</x:f>
        <x:v>0.00440250329615739</x:v>
      </x:c>
      <x:c r="M15" s="38" t="n">
        <x:f>0</x:f>
        <x:v>0</x:v>
      </x:c>
      <x:c r="N15" s="38" t="n">
        <x:f>'Trade_Average_2000_2012'!N15/SUM('Trade_Average_2000_2012'!$B15:$O15)</x:f>
        <x:v>0.09739879447007861</x:v>
      </x:c>
      <x:c r="O15" s="38" t="n">
        <x:f>'Trade_Average_2000_2012'!O15/SUM('Trade_Average_2000_2012'!$B15:$O15)</x:f>
        <x:v>0.012207001668086036</x:v>
      </x:c>
      <x:c r="P15" s="38" t="n">
        <x:f>SUM(B15:O15)</x:f>
        <x:v>1</x:v>
      </x:c>
    </x:row>
    <x:row r="16">
      <x:c r="A16" s="23" t="str">
        <x:v>US</x:v>
      </x:c>
      <x:c r="B16" s="38" t="n">
        <x:f>'Trade_Average_2000_2012'!B16/SUM('Trade_Average_2000_2012'!$B16:$O16)</x:f>
        <x:v>0.015273090726925984</x:v>
      </x:c>
      <x:c r="C16" s="38" t="n">
        <x:f>'Trade_Average_2000_2012'!C16/SUM('Trade_Average_2000_2012'!$B16:$O16)</x:f>
        <x:v>0.027287597905714105</x:v>
      </x:c>
      <x:c r="D16" s="38" t="n">
        <x:f>'Trade_Average_2000_2012'!D16/SUM('Trade_Average_2000_2012'!$B16:$O16)</x:f>
        <x:v>0.2810420548538885</x:v>
      </x:c>
      <x:c r="E16" s="38" t="n">
        <x:f>'Trade_Average_2000_2012'!E16/SUM('Trade_Average_2000_2012'!$B16:$O16)</x:f>
        <x:v>0.017614570101196308</x:v>
      </x:c>
      <x:c r="F16" s="38" t="n">
        <x:f>'Trade_Average_2000_2012'!F16/SUM('Trade_Average_2000_2012'!$B16:$O16)</x:f>
        <x:v>0.18614945383127782</x:v>
      </x:c>
      <x:c r="G16" s="38" t="n">
        <x:f>'Trade_Average_2000_2012'!G16/SUM('Trade_Average_2000_2012'!$B16:$O16)</x:f>
        <x:v>0.22245898056851415</x:v>
      </x:c>
      <x:c r="H16" s="38" t="n">
        <x:f>'Trade_Average_2000_2012'!H16/SUM('Trade_Average_2000_2012'!$B16:$O16)</x:f>
        <x:v>0.05400161431853788</x:v>
      </x:c>
      <x:c r="I16" s="38" t="n">
        <x:f>'Trade_Average_2000_2012'!I16/SUM('Trade_Average_2000_2012'!$B16:$O16)</x:f>
        <x:v>0.11058920753001635</x:v>
      </x:c>
      <x:c r="J16" s="38" t="n">
        <x:f>'Trade_Average_2000_2012'!J16/SUM('Trade_Average_2000_2012'!$B16:$O16)</x:f>
        <x:v>0.04419411095430312</x:v>
      </x:c>
      <x:c r="K16" s="38" t="n">
        <x:f>'Trade_Average_2000_2012'!K16/SUM('Trade_Average_2000_2012'!$B16:$O16)</x:f>
        <x:v>0.00523212125859015</x:v>
      </x:c>
      <x:c r="L16" s="38" t="n">
        <x:f>'Trade_Average_2000_2012'!L16/SUM('Trade_Average_2000_2012'!$B16:$O16)</x:f>
        <x:v>0.023026195200245948</x:v>
      </x:c>
      <x:c r="M16" s="38" t="n">
        <x:f>'Trade_Average_2000_2012'!M16/SUM('Trade_Average_2000_2012'!$B16:$O16)</x:f>
        <x:v>0.006540979063184665</x:v>
      </x:c>
      <x:c r="N16" s="38" t="n">
        <x:f>0</x:f>
        <x:v>0</x:v>
      </x:c>
      <x:c r="O16" s="38" t="n">
        <x:f>'Trade_Average_2000_2012'!O16/SUM('Trade_Average_2000_2012'!$B16:$O16)</x:f>
        <x:v>0.006590023687605172</x:v>
      </x:c>
      <x:c r="P16" s="38" t="n">
        <x:f>SUM(B16:O16)</x:f>
        <x:v>1.0000000000000002</x:v>
      </x:c>
    </x:row>
    <x:row r="17">
      <x:c r="A17" s="23" t="str">
        <x:v>ZA</x:v>
      </x:c>
      <x:c r="B17" s="38" t="n">
        <x:f>'Trade_Average_2000_2012'!B17/SUM('Trade_Average_2000_2012'!$B17:$O17)</x:f>
        <x:v>0.027685056910326175</x:v>
      </x:c>
      <x:c r="C17" s="38" t="n">
        <x:f>'Trade_Average_2000_2012'!C17/SUM('Trade_Average_2000_2012'!$B17:$O17)</x:f>
        <x:v>0.021349366352387114</x:v>
      </x:c>
      <x:c r="D17" s="38" t="n">
        <x:f>'Trade_Average_2000_2012'!D17/SUM('Trade_Average_2000_2012'!$B17:$O17)</x:f>
        <x:v>0.015121263756330106</x:v>
      </x:c>
      <x:c r="E17" s="38" t="n">
        <x:f>'Trade_Average_2000_2012'!E17/SUM('Trade_Average_2000_2012'!$B17:$O17)</x:f>
        <x:v>0.028199438133631155</x:v>
      </x:c>
      <x:c r="F17" s="38" t="n">
        <x:f>'Trade_Average_2000_2012'!F17/SUM('Trade_Average_2000_2012'!$B17:$O17)</x:f>
        <x:v>0.14674644581370183</x:v>
      </x:c>
      <x:c r="G17" s="38" t="n">
        <x:f>'Trade_Average_2000_2012'!G17/SUM('Trade_Average_2000_2012'!$B17:$O17)</x:f>
        <x:v>0.3668912273489289</x:v>
      </x:c>
      <x:c r="H17" s="38" t="n">
        <x:f>'Trade_Average_2000_2012'!H17/SUM('Trade_Average_2000_2012'!$B17:$O17)</x:f>
        <x:v>0.08990878155379742</x:v>
      </x:c>
      <x:c r="I17" s="38" t="n">
        <x:f>'Trade_Average_2000_2012'!I17/SUM('Trade_Average_2000_2012'!$B17:$O17)</x:f>
        <x:v>0.10959277971773727</x:v>
      </x:c>
      <x:c r="J17" s="38" t="n">
        <x:f>'Trade_Average_2000_2012'!J17/SUM('Trade_Average_2000_2012'!$B17:$O17)</x:f>
        <x:v>0.031080403680334677</x:v>
      </x:c>
      <x:c r="K17" s="38" t="n">
        <x:f>'Trade_Average_2000_2012'!K17/SUM('Trade_Average_2000_2012'!$B17:$O17)</x:f>
        <x:v>0.0028864574599865235</x:v>
      </x:c>
      <x:c r="L17" s="38" t="n">
        <x:f>'Trade_Average_2000_2012'!L17/SUM('Trade_Average_2000_2012'!$B17:$O17)</x:f>
        <x:v>0.013378286871605973</x:v>
      </x:c>
      <x:c r="M17" s="38" t="n">
        <x:f>'Trade_Average_2000_2012'!M17/SUM('Trade_Average_2000_2012'!$B17:$O17)</x:f>
        <x:v>0.008498419488102088</x:v>
      </x:c>
      <x:c r="N17" s="38" t="n">
        <x:f>'Trade_Average_2000_2012'!N17/SUM('Trade_Average_2000_2012'!$B17:$O17)</x:f>
        <x:v>0.13866207291313062</x:v>
      </x:c>
      <x:c r="O17" s="38" t="n">
        <x:f>0</x:f>
        <x:v>0</x:v>
      </x:c>
      <x:c r="P17" s="38" t="n">
        <x:f>SUM(B17:O17)</x:f>
        <x:v>0.9999999999999999</x:v>
      </x:c>
    </x:row>
  </x:sheetData>
  <x:mergeCells>
    <x:mergeCell ref="A1:P1"/>
  </x:mergeCells>
  <x:conditionalFormatting sqref="B4:O17">
    <x:cfRule type="colorScale" priority="1">
      <x:colorScale>
        <x:cfvo type="min"/>
        <x:cfvo type="percentile" val="50"/>
        <x:cfvo type="max"/>
        <x:color rgb="FFFFFFFF"/>
        <x:color rgb="FFFFF2CC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5" t="str">
        <x:v>Weight Matrix Validation</x:v>
      </x:c>
      <x:c r="B1" s="15"/>
      <x:c r="C1" s="15"/>
      <x:c r="D1" s="15"/>
    </x:row>
    <x:row r="3">
      <x:c r="A3" s="5" t="str">
        <x:v>Reporter</x:v>
      </x:c>
      <x:c r="B3" s="5" t="str">
        <x:v>Row Sum</x:v>
      </x:c>
      <x:c r="C3" s="5" t="str">
        <x:v>Abs. Error from 1</x:v>
      </x:c>
      <x:c r="D3" s="5" t="str">
        <x:v>Status</x:v>
      </x:c>
    </x:row>
    <x:row r="4">
      <x:c r="A4" t="str">
        <x:v>AU</x:v>
      </x:c>
      <x:c r="B4" s="40" t="n">
        <x:f>'Trade_Weight_14x14'!P4</x:f>
        <x:v>1</x:v>
      </x:c>
      <x:c r="C4" s="40" t="n">
        <x:f>ABS(B4-1)</x:f>
        <x:v>0</x:v>
      </x:c>
      <x:c r="D4" t="str">
        <x:f>IF(C4&lt;0.000000001,"OK","CHECK")</x:f>
        <x:v>OK</x:v>
      </x:c>
    </x:row>
    <x:row r="5">
      <x:c r="A5" t="str">
        <x:v>BR</x:v>
      </x:c>
      <x:c r="B5" s="40" t="n">
        <x:f>'Trade_Weight_14x14'!P5</x:f>
        <x:v>1.0000000000000002</x:v>
      </x:c>
      <x:c r="C5" s="40" t="n">
        <x:f>ABS(B5-1)</x:f>
        <x:v>2.220446049250313e-16</x:v>
      </x:c>
      <x:c r="D5" t="str">
        <x:f>IF(C5&lt;0.000000001,"OK","CHECK")</x:f>
        <x:v>OK</x:v>
      </x:c>
    </x:row>
    <x:row r="6">
      <x:c r="A6" t="str">
        <x:v>CA</x:v>
      </x:c>
      <x:c r="B6" s="40" t="n">
        <x:f>'Trade_Weight_14x14'!P6</x:f>
        <x:v>0.9999999999999999</x:v>
      </x:c>
      <x:c r="C6" s="40" t="n">
        <x:f>ABS(B6-1)</x:f>
        <x:v>1.1102230246251565e-16</x:v>
      </x:c>
      <x:c r="D6" t="str">
        <x:f>IF(C6&lt;0.000000001,"OK","CHECK")</x:f>
        <x:v>OK</x:v>
      </x:c>
    </x:row>
    <x:row r="7">
      <x:c r="A7" t="str">
        <x:v>CH</x:v>
      </x:c>
      <x:c r="B7" s="40" t="n">
        <x:f>'Trade_Weight_14x14'!P7</x:f>
        <x:v>1</x:v>
      </x:c>
      <x:c r="C7" s="40" t="n">
        <x:f>ABS(B7-1)</x:f>
        <x:v>0</x:v>
      </x:c>
      <x:c r="D7" t="str">
        <x:f>IF(C7&lt;0.000000001,"OK","CHECK")</x:f>
        <x:v>OK</x:v>
      </x:c>
    </x:row>
    <x:row r="8">
      <x:c r="A8" t="str">
        <x:v>CN</x:v>
      </x:c>
      <x:c r="B8" s="40" t="n">
        <x:f>'Trade_Weight_14x14'!P8</x:f>
        <x:v>0.9999999999999999</x:v>
      </x:c>
      <x:c r="C8" s="40" t="n">
        <x:f>ABS(B8-1)</x:f>
        <x:v>1.1102230246251565e-16</x:v>
      </x:c>
      <x:c r="D8" t="str">
        <x:f>IF(C8&lt;0.000000001,"OK","CHECK")</x:f>
        <x:v>OK</x:v>
      </x:c>
    </x:row>
    <x:row r="9">
      <x:c r="A9" t="str">
        <x:v>EA</x:v>
      </x:c>
      <x:c r="B9" s="40" t="n">
        <x:f>'Trade_Weight_14x14'!P9</x:f>
        <x:v>1.0000000000000002</x:v>
      </x:c>
      <x:c r="C9" s="40" t="n">
        <x:f>ABS(B9-1)</x:f>
        <x:v>2.220446049250313e-16</x:v>
      </x:c>
      <x:c r="D9" t="str">
        <x:f>IF(C9&lt;0.000000001,"OK","CHECK")</x:f>
        <x:v>OK</x:v>
      </x:c>
    </x:row>
    <x:row r="10">
      <x:c r="A10" t="str">
        <x:v>UK</x:v>
      </x:c>
      <x:c r="B10" s="40" t="n">
        <x:f>'Trade_Weight_14x14'!P10</x:f>
        <x:v>0.9999999999999999</x:v>
      </x:c>
      <x:c r="C10" s="40" t="n">
        <x:f>ABS(B10-1)</x:f>
        <x:v>1.1102230246251565e-16</x:v>
      </x:c>
      <x:c r="D10" t="str">
        <x:f>IF(C10&lt;0.000000001,"OK","CHECK")</x:f>
        <x:v>OK</x:v>
      </x:c>
    </x:row>
    <x:row r="11">
      <x:c r="A11" t="str">
        <x:v>JP</x:v>
      </x:c>
      <x:c r="B11" s="40" t="n">
        <x:f>'Trade_Weight_14x14'!P11</x:f>
        <x:v>1</x:v>
      </x:c>
      <x:c r="C11" s="40" t="n">
        <x:f>ABS(B11-1)</x:f>
        <x:v>0</x:v>
      </x:c>
      <x:c r="D11" t="str">
        <x:f>IF(C11&lt;0.000000001,"OK","CHECK")</x:f>
        <x:v>OK</x:v>
      </x:c>
    </x:row>
    <x:row r="12">
      <x:c r="A12" t="str">
        <x:v>KR</x:v>
      </x:c>
      <x:c r="B12" s="40" t="n">
        <x:f>'Trade_Weight_14x14'!P12</x:f>
        <x:v>0.9999999999999999</x:v>
      </x:c>
      <x:c r="C12" s="40" t="n">
        <x:f>ABS(B12-1)</x:f>
        <x:v>1.1102230246251565e-16</x:v>
      </x:c>
      <x:c r="D12" t="str">
        <x:f>IF(C12&lt;0.000000001,"OK","CHECK")</x:f>
        <x:v>OK</x:v>
      </x:c>
    </x:row>
    <x:row r="13">
      <x:c r="A13" t="str">
        <x:v>NO</x:v>
      </x:c>
      <x:c r="B13" s="40" t="n">
        <x:f>'Trade_Weight_14x14'!P13</x:f>
        <x:v>1</x:v>
      </x:c>
      <x:c r="C13" s="40" t="n">
        <x:f>ABS(B13-1)</x:f>
        <x:v>0</x:v>
      </x:c>
      <x:c r="D13" t="str">
        <x:f>IF(C13&lt;0.000000001,"OK","CHECK")</x:f>
        <x:v>OK</x:v>
      </x:c>
    </x:row>
    <x:row r="14">
      <x:c r="A14" t="str">
        <x:v>SG</x:v>
      </x:c>
      <x:c r="B14" s="40" t="n">
        <x:f>'Trade_Weight_14x14'!P14</x:f>
        <x:v>1</x:v>
      </x:c>
      <x:c r="C14" s="40" t="n">
        <x:f>ABS(B14-1)</x:f>
        <x:v>0</x:v>
      </x:c>
      <x:c r="D14" t="str">
        <x:f>IF(C14&lt;0.000000001,"OK","CHECK")</x:f>
        <x:v>OK</x:v>
      </x:c>
    </x:row>
    <x:row r="15">
      <x:c r="A15" t="str">
        <x:v>TR</x:v>
      </x:c>
      <x:c r="B15" s="40" t="n">
        <x:f>'Trade_Weight_14x14'!P15</x:f>
        <x:v>1</x:v>
      </x:c>
      <x:c r="C15" s="40" t="n">
        <x:f>ABS(B15-1)</x:f>
        <x:v>0</x:v>
      </x:c>
      <x:c r="D15" t="str">
        <x:f>IF(C15&lt;0.000000001,"OK","CHECK")</x:f>
        <x:v>OK</x:v>
      </x:c>
    </x:row>
    <x:row r="16">
      <x:c r="A16" t="str">
        <x:v>US</x:v>
      </x:c>
      <x:c r="B16" s="40" t="n">
        <x:f>'Trade_Weight_14x14'!P16</x:f>
        <x:v>1.0000000000000002</x:v>
      </x:c>
      <x:c r="C16" s="40" t="n">
        <x:f>ABS(B16-1)</x:f>
        <x:v>2.220446049250313e-16</x:v>
      </x:c>
      <x:c r="D16" t="str">
        <x:f>IF(C16&lt;0.000000001,"OK","CHECK")</x:f>
        <x:v>OK</x:v>
      </x:c>
    </x:row>
    <x:row r="17">
      <x:c r="A17" t="str">
        <x:v>ZA</x:v>
      </x:c>
      <x:c r="B17" s="40" t="n">
        <x:f>'Trade_Weight_14x14'!P17</x:f>
        <x:v>0.9999999999999999</x:v>
      </x:c>
      <x:c r="C17" s="40" t="n">
        <x:f>ABS(B17-1)</x:f>
        <x:v>1.1102230246251565e-16</x:v>
      </x:c>
      <x:c r="D17" t="str">
        <x:f>IF(C17&lt;0.000000001,"OK","CHECK")</x:f>
        <x:v>OK</x:v>
      </x:c>
    </x:row>
  </x:sheetData>
  <x:mergeCells>
    <x:mergeCell ref="A1:D1"/>
  </x:mergeCells>
  <x:conditionalFormatting sqref="D4:D17">
    <x:cfRule type="expression" dxfId="0" priority="1">
      <x:formula>D4="OK"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8" hidden="0" customWidth="1"/>
    <x:col min="4" max="4" width="65" hidden="0" customWidth="1"/>
  </x:cols>
  <x:sheetData>
    <x:row r="1">
      <x:c r="A1" s="42" t="str">
        <x:v>Data &amp; Method Notes</x:v>
      </x:c>
      <x:c r="B1" s="42"/>
      <x:c r="C1" s="42"/>
      <x:c r="D1" s="42"/>
    </x:row>
    <x:row r="2">
      <x:c r="A2" s="43"/>
      <x:c r="B2" s="43"/>
      <x:c r="C2" s="43"/>
      <x:c r="D2" s="43"/>
    </x:row>
    <x:row r="3">
      <x:c r="A3" s="44" t="str">
        <x:v>Item</x:v>
      </x:c>
      <x:c r="B3" s="44" t="str">
        <x:v>Specification</x:v>
      </x:c>
      <x:c r="C3" s="44" t="str">
        <x:v>Details</x:v>
      </x:c>
      <x:c r="D3" s="44" t="str">
        <x:v>Source / File</x:v>
      </x:c>
    </x:row>
    <x:row r="4">
      <x:c r="A4" s="45" t="str">
        <x:v>Dataset</x:v>
      </x:c>
      <x:c r="B4" s="43" t="str">
        <x:v>IMF International Trade in Goods (by partner country), IMTS</x:v>
      </x:c>
      <x:c r="C4" s="43" t="str">
        <x:v>Latest vintage; annual bilateral merchandise trade</x:v>
      </x:c>
      <x:c r="D4" s="43" t="str">
        <x:v>https://data.imf.org/en/Data%20Explorer?datasetUrn=IMF.STA:IMTS(1.0.0)&amp;dataPresentation=H_IMTS_EXPORT_IMPORT_AREA_COUNTRY</x:v>
      </x:c>
    </x:row>
    <x:row r="5">
      <x:c r="A5" s="45" t="str">
        <x:v>Exports</x:v>
      </x:c>
      <x:c r="B5" s="43" t="str">
        <x:v>FOB, US dollar</x:v>
      </x:c>
      <x:c r="C5" s="43" t="str">
        <x:v>Exports of goods, Free on board (FOB), scale = Millions</x:v>
      </x:c>
      <x:c r="D5" s="43" t="str">
        <x:v>出口(1).csv</x:v>
      </x:c>
    </x:row>
    <x:row r="6">
      <x:c r="A6" s="45" t="str">
        <x:v>Imports</x:v>
      </x:c>
      <x:c r="B6" s="43" t="str">
        <x:v>CIF, US dollar</x:v>
      </x:c>
      <x:c r="C6" s="43" t="str">
        <x:v>Imports of goods, Cost insurance freight (CIF), scale = Millions</x:v>
      </x:c>
      <x:c r="D6" s="43" t="str">
        <x:v>入口(1).csv</x:v>
      </x:c>
    </x:row>
    <x:row r="7">
      <x:c r="A7" s="45" t="str">
        <x:v>Weight window</x:v>
      </x:c>
      <x:c r="B7" s="43" t="str">
        <x:v>2000–2012</x:v>
      </x:c>
      <x:c r="C7" s="43" t="str">
        <x:v>13 annual observations for each off-diagonal bilateral pair</x:v>
      </x:c>
      <x:c r="D7" s="43" t="str"/>
    </x:row>
    <x:row r="8">
      <x:c r="A8" s="45" t="str">
        <x:v>Bilateral trade</x:v>
      </x:c>
      <x:c r="B8" s="43" t="str">
        <x:v>Average exports + average imports</x:v>
      </x:c>
      <x:c r="C8" s="43" t="str">
        <x:v>For reporter i and partner j: AvgTrade_ij = mean(X_ij,2000:2012) + mean(M_ij,2000:2012)</x:v>
      </x:c>
      <x:c r="D8" s="43" t="str"/>
    </x:row>
    <x:row r="9">
      <x:c r="A9" s="45" t="str">
        <x:v>Diagonal</x:v>
      </x:c>
      <x:c r="B9" s="43" t="str">
        <x:v>w_ii = 0</x:v>
      </x:c>
      <x:c r="C9" s="43" t="str">
        <x:v>Own-country trade is excluded from foreign-variable weights</x:v>
      </x:c>
      <x:c r="D9" s="43" t="str"/>
    </x:row>
    <x:row r="10">
      <x:c r="A10" s="45" t="str">
        <x:v>Normalization</x:v>
      </x:c>
      <x:c r="B10" s="43" t="str">
        <x:v>Row normalization</x:v>
      </x:c>
      <x:c r="C10" s="43" t="str">
        <x:v>w_ij = AvgTrade_ij / sum(k≠i) AvgTrade_ik; each reporter-country row sums to 1</x:v>
      </x:c>
      <x:c r="D10" s="43" t="str"/>
    </x:row>
    <x:row r="11">
      <x:c r="A11" s="45" t="str">
        <x:v>Missing-data check</x:v>
      </x:c>
      <x:c r="B11" s="43" t="str">
        <x:v>Complete for 2000–2012</x:v>
      </x:c>
      <x:c r="C11" s="43" t="str">
        <x:v>All 14×13 off-diagonal export and import series are present in every year from 2000 through 2012</x:v>
      </x:c>
      <x:c r="D11" s="43" t="str"/>
    </x:row>
    <x:row r="12">
      <x:c r="A12" s="45" t="str">
        <x:v>Country order</x:v>
      </x:c>
      <x:c r="B12" s="43" t="str">
        <x:v>AU, BR, CA, CH, CN, EA, UK, JP, KR, NO, SG, TR, US, ZA</x:v>
      </x:c>
      <x:c r="C12" s="43" t="str">
        <x:v>The same order is used in both 14×14 matrices</x:v>
      </x:c>
      <x:c r="D12" s="43" t="str"/>
    </x:row>
    <x:row r="13">
      <x:c r="A13" s="43"/>
      <x:c r="B13" s="43"/>
      <x:c r="C13" s="43"/>
      <x:c r="D13" s="43"/>
    </x:row>
    <x:row r="14">
      <x:c r="A14" s="43"/>
      <x:c r="B14" s="43"/>
      <x:c r="C14" s="43"/>
      <x:c r="D14" s="43"/>
    </x:row>
    <x:row r="15">
      <x:c r="A15" s="44" t="str">
        <x:v>Code</x:v>
      </x:c>
      <x:c r="B15" s="44" t="str">
        <x:v>Economy</x:v>
      </x:c>
      <x:c r="C15" s="43"/>
      <x:c r="D15" s="43"/>
    </x:row>
    <x:row r="16">
      <x:c r="A16" s="59" t="str">
        <x:v>AU</x:v>
      </x:c>
      <x:c r="B16" s="43" t="str">
        <x:v>Australia</x:v>
      </x:c>
      <x:c r="C16" s="43"/>
      <x:c r="D16" s="43"/>
    </x:row>
    <x:row r="17">
      <x:c r="A17" s="59" t="str">
        <x:v>BR</x:v>
      </x:c>
      <x:c r="B17" s="43" t="str">
        <x:v>Brazil</x:v>
      </x:c>
      <x:c r="C17" s="43"/>
      <x:c r="D17" s="43"/>
    </x:row>
    <x:row r="18">
      <x:c r="A18" s="59" t="str">
        <x:v>CA</x:v>
      </x:c>
      <x:c r="B18" s="43" t="str">
        <x:v>Canada</x:v>
      </x:c>
      <x:c r="C18" s="43"/>
      <x:c r="D18" s="43"/>
    </x:row>
    <x:row r="19">
      <x:c r="A19" s="59" t="str">
        <x:v>CH</x:v>
      </x:c>
      <x:c r="B19" s="43" t="str">
        <x:v>Switzerland</x:v>
      </x:c>
      <x:c r="C19" s="43"/>
      <x:c r="D19" s="43"/>
    </x:row>
    <x:row r="20">
      <x:c r="A20" s="59" t="str">
        <x:v>CN</x:v>
      </x:c>
      <x:c r="B20" s="43" t="str">
        <x:v>China, People's Republic of</x:v>
      </x:c>
      <x:c r="C20" s="43"/>
      <x:c r="D20" s="43"/>
    </x:row>
    <x:row r="21">
      <x:c r="A21" s="59" t="str">
        <x:v>EA</x:v>
      </x:c>
      <x:c r="B21" s="43" t="str">
        <x:v>Euro Area (EA)</x:v>
      </x:c>
      <x:c r="C21" s="43"/>
      <x:c r="D21" s="43"/>
    </x:row>
    <x:row r="22">
      <x:c r="A22" s="59" t="str">
        <x:v>UK</x:v>
      </x:c>
      <x:c r="B22" s="43" t="str">
        <x:v>United Kingdom</x:v>
      </x:c>
      <x:c r="C22" s="43"/>
      <x:c r="D22" s="43"/>
    </x:row>
    <x:row r="23">
      <x:c r="A23" s="59" t="str">
        <x:v>JP</x:v>
      </x:c>
      <x:c r="B23" s="43" t="str">
        <x:v>Japan</x:v>
      </x:c>
      <x:c r="C23" s="43"/>
      <x:c r="D23" s="43"/>
    </x:row>
    <x:row r="24">
      <x:c r="A24" s="59" t="str">
        <x:v>KR</x:v>
      </x:c>
      <x:c r="B24" s="43" t="str">
        <x:v>Korea, Republic of</x:v>
      </x:c>
      <x:c r="C24" s="43"/>
      <x:c r="D24" s="43"/>
    </x:row>
    <x:row r="25">
      <x:c r="A25" s="59" t="str">
        <x:v>NO</x:v>
      </x:c>
      <x:c r="B25" s="43" t="str">
        <x:v>Norway</x:v>
      </x:c>
      <x:c r="C25" s="43"/>
      <x:c r="D25" s="43"/>
    </x:row>
    <x:row r="26">
      <x:c r="A26" s="59" t="str">
        <x:v>SG</x:v>
      </x:c>
      <x:c r="B26" s="43" t="str">
        <x:v>Singapore</x:v>
      </x:c>
      <x:c r="C26" s="43"/>
      <x:c r="D26" s="43"/>
    </x:row>
    <x:row r="27">
      <x:c r="A27" s="59" t="str">
        <x:v>TR</x:v>
      </x:c>
      <x:c r="B27" s="43" t="str">
        <x:v>Türkiye, Republic of</x:v>
      </x:c>
      <x:c r="C27" s="43"/>
      <x:c r="D27" s="43"/>
    </x:row>
    <x:row r="28">
      <x:c r="A28" s="59" t="str">
        <x:v>US</x:v>
      </x:c>
      <x:c r="B28" s="43" t="str">
        <x:v>United States</x:v>
      </x:c>
      <x:c r="C28" s="43"/>
      <x:c r="D28" s="43"/>
    </x:row>
    <x:row r="29">
      <x:c r="A29" s="59" t="str">
        <x:v>ZA</x:v>
      </x:c>
      <x:c r="B29" s="43" t="str">
        <x:v>South Africa</x:v>
      </x:c>
      <x:c r="C29" s="43"/>
      <x:c r="D29" s="43"/>
    </x:row>
    <x:row r="30">
      <x:c r="A30" s="43"/>
      <x:c r="B30" s="43"/>
      <x:c r="C30" s="43"/>
      <x:c r="D30" s="43"/>
    </x:row>
  </x:sheetData>
  <x:mergeCells>
    <x:mergeCell ref="A1:D1"/>
  </x:mergeCells>
  <x:pageMargins left="0.7" right="0.7" top="0.75" bottom="0.75" header="0.3" footer="0.3"/>
</x:worksheet>
</file>